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an\Desktop\TN-SENTINEL-X-PRO\dataset\processed\"/>
    </mc:Choice>
  </mc:AlternateContent>
  <xr:revisionPtr revIDLastSave="0" documentId="13_ncr:1_{8E79A333-17D9-43BC-AC30-EB4A0E46AED7}" xr6:coauthVersionLast="47" xr6:coauthVersionMax="47" xr10:uidLastSave="{00000000-0000-0000-0000-000000000000}"/>
  <bookViews>
    <workbookView xWindow="-108" yWindow="-108" windowWidth="23256" windowHeight="12456" xr2:uid="{69C63F21-4865-4535-A4FC-8765F69ADA52}"/>
  </bookViews>
  <sheets>
    <sheet name="DATA_MODEL" sheetId="1" r:id="rId1"/>
    <sheet name="CLEANED DATA" sheetId="2" r:id="rId2"/>
  </sheets>
  <definedNames>
    <definedName name="ExternalData_2" localSheetId="1" hidden="1">'CLEANED DATA'!$B$5:$G$56</definedName>
    <definedName name="ExternalData_2" localSheetId="0" hidden="1">DATA_MODEL!$A$5:$F$55</definedName>
    <definedName name="ExternalData_3" localSheetId="0" hidden="1">DATA_MODEL!$A$106:$F$157</definedName>
    <definedName name="ExternalData_4" localSheetId="1" hidden="1">'CLEANED DATA'!$Y$5:$AA$56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69359-60CF-4BE6-A27F-C4611B5CEDC3}" keepAlive="1" name="Query - ACCIDENT_MASTER" description="Connection to the 'ACCIDENT_MASTER' query in the workbook." type="5" refreshedVersion="0" background="1">
    <dbPr connection="Provider=Microsoft.Mashup.OleDb.1;Data Source=$Workbook$;Location=ACCIDENT_MASTER;Extended Properties=&quot;&quot;" command="SELECT * FROM [ACCIDENT_MASTER]"/>
  </connection>
  <connection id="2" xr16:uid="{5647EDF5-6064-4E97-A797-9B6B9D69B3E8}" keepAlive="1" name="Query - ACCIDENT_MASTER (3)" description="Connection to the 'ACCIDENT_MASTER (3)' query in the workbook." type="5" refreshedVersion="8" background="1" saveData="1">
    <dbPr connection="Provider=Microsoft.Mashup.OleDb.1;Data Source=$Workbook$;Location=&quot;ACCIDENT_MASTER (3)&quot;;Extended Properties=&quot;&quot;" command="SELECT * FROM [ACCIDENT_MASTER (3)]"/>
  </connection>
  <connection id="3" xr16:uid="{9A769D67-AD7C-4BA4-ABF6-07E8D995D00C}" keepAlive="1" name="Query - ACCIDENT_MASTER (4)" description="Connection to the 'ACCIDENT_MASTER (4)' query in the workbook." type="5" refreshedVersion="0" background="1">
    <dbPr connection="Provider=Microsoft.Mashup.OleDb.1;Data Source=$Workbook$;Location=&quot;ACCIDENT_MASTER (4)&quot;;Extended Properties=&quot;&quot;" command="SELECT * FROM [ACCIDENT_MASTER (4)]"/>
  </connection>
  <connection id="4" xr16:uid="{6CCD4CA6-3938-4EFE-BDCE-F2579DFD6502}" keepAlive="1" name="Query - ACCIDENT_MASTER (5)" description="Connection to the 'ACCIDENT_MASTER (5)' query in the workbook." type="5" refreshedVersion="0" background="1">
    <dbPr connection="Provider=Microsoft.Mashup.OleDb.1;Data Source=$Workbook$;Location=&quot;ACCIDENT_MASTER (5)&quot;;Extended Properties=&quot;&quot;" command="SELECT * FROM [ACCIDENT_MASTER (5)]"/>
  </connection>
  <connection id="5" xr16:uid="{44F6EE9D-7235-4E9A-94EA-90B4F1E44253}" keepAlive="1" name="Query - IPC_MASTER" description="Connection to the 'IPC_MASTER' query in the workbook." type="5" refreshedVersion="0" background="1">
    <dbPr connection="Provider=Microsoft.Mashup.OleDb.1;Data Source=$Workbook$;Location=IPC_MASTER;Extended Properties=&quot;&quot;" command="SELECT * FROM [IPC_MASTER]"/>
  </connection>
  <connection id="6" xr16:uid="{9086137F-D1FF-4177-9AC4-0E993BD53D4E}" keepAlive="1" name="Query - IPC_MASTER (2)" description="Connection to the 'IPC_MASTER (2)' query in the workbook." type="5" refreshedVersion="0" background="1">
    <dbPr connection="Provider=Microsoft.Mashup.OleDb.1;Data Source=$Workbook$;Location=&quot;IPC_MASTER (2)&quot;;Extended Properties=&quot;&quot;" command="SELECT * FROM [IPC_MASTER (2)]"/>
  </connection>
  <connection id="7" xr16:uid="{B3F6BBC5-D26F-4310-B836-2B6F029CD144}" keepAlive="1" name="Query - IPC_MASTER (3)" description="Connection to the 'IPC_MASTER (3)' query in the workbook." type="5" refreshedVersion="0" background="1">
    <dbPr connection="Provider=Microsoft.Mashup.OleDb.1;Data Source=$Workbook$;Location=&quot;IPC_MASTER (3)&quot;;Extended Properties=&quot;&quot;" command="SELECT * FROM [IPC_MASTER (3)]"/>
  </connection>
  <connection id="8" xr16:uid="{9941C20F-E44C-4052-AD75-D478AF5776C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9" xr16:uid="{439CA7A2-E73B-4C34-8154-3DB36B3F2E43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10" xr16:uid="{CB4962C4-90EA-4CA2-B743-F3626E6104DF}" keepAlive="1" name="Query - Merge1 (3)" description="Connection to the 'Merge1 (3)' query in the workbook." type="5" refreshedVersion="8" background="1" saveData="1">
    <dbPr connection="Provider=Microsoft.Mashup.OleDb.1;Data Source=$Workbook$;Location=&quot;Merge1 (3)&quot;;Extended Properties=&quot;&quot;" command="SELECT * FROM [Merge1 (3)]"/>
  </connection>
  <connection id="11" xr16:uid="{94A406A6-062B-4A3C-B761-A3FA5E233F16}" keepAlive="1" name="Query - MURDER_MASTER" description="Connection to the 'MURDER_MASTER' query in the workbook." type="5" refreshedVersion="0" background="1">
    <dbPr connection="Provider=Microsoft.Mashup.OleDb.1;Data Source=$Workbook$;Location=MURDER_MASTER;Extended Properties=&quot;&quot;" command="SELECT * FROM [MURDER_MASTER]"/>
  </connection>
  <connection id="12" xr16:uid="{61023375-D8E4-48F8-89ED-E438D963BBFC}" keepAlive="1" name="Query - MURDER_MASTER (2)" description="Connection to the 'MURDER_MASTER (2)' query in the workbook." type="5" refreshedVersion="0" background="1">
    <dbPr connection="Provider=Microsoft.Mashup.OleDb.1;Data Source=$Workbook$;Location=&quot;MURDER_MASTER (2)&quot;;Extended Properties=&quot;&quot;" command="SELECT * FROM [MURDER_MASTER (2)]"/>
  </connection>
  <connection id="13" xr16:uid="{5FC13A80-0099-417A-BF7A-0A1B6D1FDCFC}" keepAlive="1" name="Query - MURDER_MASTER (3)" description="Connection to the 'MURDER_MASTER (3)' query in the workbook." type="5" refreshedVersion="0" background="1">
    <dbPr connection="Provider=Microsoft.Mashup.OleDb.1;Data Source=$Workbook$;Location=&quot;MURDER_MASTER (3)&quot;;Extended Properties=&quot;&quot;" command="SELECT * FROM [MURDER_MASTER (3)]"/>
  </connection>
  <connection id="14" xr16:uid="{34EF8A91-5E24-4BDE-AC57-572BF54506B9}" keepAlive="1" name="Query - WOMEN_MASTER" description="Connection to the 'WOMEN_MASTER' query in the workbook." type="5" refreshedVersion="0" background="1">
    <dbPr connection="Provider=Microsoft.Mashup.OleDb.1;Data Source=$Workbook$;Location=WOMEN_MASTER;Extended Properties=&quot;&quot;" command="SELECT * FROM [WOMEN_MASTER]"/>
  </connection>
  <connection id="15" xr16:uid="{817C3B64-E9B7-4903-92AB-2C94F7903F4D}" keepAlive="1" name="Query - WOMEN_MASTER (2)" description="Connection to the 'WOMEN_MASTER (2)' query in the workbook." type="5" refreshedVersion="0" background="1">
    <dbPr connection="Provider=Microsoft.Mashup.OleDb.1;Data Source=$Workbook$;Location=&quot;WOMEN_MASTER (2)&quot;;Extended Properties=&quot;&quot;" command="SELECT * FROM [WOMEN_MASTER (2)]"/>
  </connection>
  <connection id="16" xr16:uid="{96B8210A-2713-47AD-8ABF-044E5B3CB7A3}" keepAlive="1" name="Query - WOMEN_MASTER (3)" description="Connection to the 'WOMEN_MASTER (3)' query in the workbook." type="5" refreshedVersion="0" background="1">
    <dbPr connection="Provider=Microsoft.Mashup.OleDb.1;Data Source=$Workbook$;Location=&quot;WOMEN_MASTER (3)&quot;;Extended Properties=&quot;&quot;" command="SELECT * FROM [WOMEN_MASTER (3)]"/>
  </connection>
</connections>
</file>

<file path=xl/sharedStrings.xml><?xml version="1.0" encoding="utf-8"?>
<sst xmlns="http://schemas.openxmlformats.org/spreadsheetml/2006/main" count="727" uniqueCount="95">
  <si>
    <t>TN-SENTINEL X PRO  MASTER DATA MODEL</t>
  </si>
  <si>
    <t>RAW DATA EXTRACTED FROM DATASET</t>
  </si>
  <si>
    <t>RANKING THE DATA</t>
  </si>
  <si>
    <t>INTELLIGENCE PART</t>
  </si>
  <si>
    <t>ADVANCED METRICS FOR ANALYSIS</t>
  </si>
  <si>
    <t>CLASSIFICATION</t>
  </si>
  <si>
    <t>Sl No</t>
  </si>
  <si>
    <t>Districts/City</t>
  </si>
  <si>
    <t>total - 2023</t>
  </si>
  <si>
    <t>Women_score</t>
  </si>
  <si>
    <t>Murder _cases</t>
  </si>
  <si>
    <t>Road Accidents - Incidence</t>
  </si>
  <si>
    <t>crime_rank</t>
  </si>
  <si>
    <t>Women_rank</t>
  </si>
  <si>
    <t>murder_rank</t>
  </si>
  <si>
    <t>accident_rank</t>
  </si>
  <si>
    <t>Risk_Score</t>
  </si>
  <si>
    <t xml:space="preserve">Risk_Category </t>
  </si>
  <si>
    <t>District_Rank</t>
  </si>
  <si>
    <t>Women Safety Ratio</t>
  </si>
  <si>
    <t>Murder Rate</t>
  </si>
  <si>
    <t>Accident Rate</t>
  </si>
  <si>
    <t>Severity Index</t>
  </si>
  <si>
    <t>Public Safety Index</t>
  </si>
  <si>
    <t>Crime Contribution %</t>
  </si>
  <si>
    <t>Crime Level</t>
  </si>
  <si>
    <t>Priority Level</t>
  </si>
  <si>
    <t>Ariyalur</t>
  </si>
  <si>
    <t>Low</t>
  </si>
  <si>
    <t>Routine Monitoring</t>
  </si>
  <si>
    <t>Chennai</t>
  </si>
  <si>
    <t>Critical</t>
  </si>
  <si>
    <t>High</t>
  </si>
  <si>
    <t>Immediate Action</t>
  </si>
  <si>
    <t>Coimbatore</t>
  </si>
  <si>
    <t>High Priority</t>
  </si>
  <si>
    <t>Coimbatore City</t>
  </si>
  <si>
    <t>Cuddalore</t>
  </si>
  <si>
    <t>Dharmapuri</t>
  </si>
  <si>
    <t>Moderate</t>
  </si>
  <si>
    <t>Dindigul</t>
  </si>
  <si>
    <t>Medium</t>
  </si>
  <si>
    <t>Erode</t>
  </si>
  <si>
    <t>Kanchipuram</t>
  </si>
  <si>
    <t>Monitor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</si>
  <si>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</si>
  <si>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</si>
  <si>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</si>
  <si>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</si>
  <si>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</si>
  <si>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</si>
  <si>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</si>
  <si>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</si>
  <si>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</si>
  <si>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</si>
  <si>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</si>
  <si>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</si>
  <si>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</si>
  <si>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</si>
  <si>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</si>
  <si>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</si>
  <si>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</si>
  <si>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</si>
  <si>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</si>
  <si>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</si>
  <si>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</si>
  <si>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</si>
  <si>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</si>
  <si>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</si>
  <si>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</si>
  <si>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</si>
  <si>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</si>
  <si>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</si>
  <si>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</si>
  <si>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</si>
  <si>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</si>
  <si>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Cyber Cell</t>
  </si>
  <si>
    <t>Other Units</t>
  </si>
  <si>
    <t>Chengalpattu</t>
  </si>
  <si>
    <t>Kallakurichi</t>
  </si>
  <si>
    <t>Ranipet</t>
  </si>
  <si>
    <t>Tiruppattur</t>
  </si>
  <si>
    <t>Tenkasi</t>
  </si>
  <si>
    <t>Mayiladuthurai</t>
  </si>
  <si>
    <t>Avadi</t>
  </si>
  <si>
    <t>Tambaram</t>
  </si>
  <si>
    <t xml:space="preserve"> Risk_Category </t>
  </si>
  <si>
    <t>TOTAL DISTRICT(S)</t>
  </si>
  <si>
    <t>MERGED DATASET FINAL CLEANED</t>
  </si>
  <si>
    <t>TOTAL 2023 CLEANED</t>
  </si>
  <si>
    <t>WOMEN SCORE DATA</t>
  </si>
  <si>
    <t>MURDER SCORE DATA</t>
  </si>
  <si>
    <t>ACCIDENT DATA</t>
  </si>
  <si>
    <t>Districts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</si>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</sst>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9">
    <dxf>
      <fill>
        <patternFill>
          <bgColor rgb="FFFF5050"/>
        </patternFill>
      </fill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</dxf>
    <dxf>
      <numFmt numFmtId="2" formatCode="0.00"/>
    </dxf>
    <dxf>
      <numFmt numFmtId="164" formatCode="0.00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</dxf>
    <dxf>
      <numFmt numFmtId="2" formatCode="0.00"/>
    </dxf>
    <dxf>
      <numFmt numFmtId="164" formatCode="0.00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5261250D-2611-489B-A148-1B5851C8A76C}" autoFormatId="16" applyNumberFormats="0" applyBorderFormats="0" applyFontFormats="0" applyPatternFormats="0" applyAlignmentFormats="0" applyWidthHeightFormats="0">
  <queryTableRefresh nextId="24" unboundColumnsRight="15">
    <queryTableFields count="21">
      <queryTableField id="14" name="Sl No" tableColumnId="14"/>
      <queryTableField id="2" name="Districts/City" tableColumnId="2"/>
      <queryTableField id="3" name="total - 2023" tableColumnId="3"/>
      <queryTableField id="4" name="Women_score" tableColumnId="4"/>
      <queryTableField id="5" name="Murder _cases" tableColumnId="5"/>
      <queryTableField id="6" name="Road Accidents - Incidence" tableColumnId="6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7" dataBound="0" tableColumnId="7"/>
      <queryTableField id="8" dataBound="0" tableColumnId="8"/>
      <queryTableField id="9" dataBound="0" tableColumnId="9"/>
      <queryTableField id="16" dataBound="0" tableColumnId="1"/>
      <queryTableField id="17" dataBound="0" tableColumnId="15"/>
      <queryTableField id="18" dataBound="0" tableColumnId="16"/>
      <queryTableField id="19" dataBound="0" tableColumnId="17"/>
      <queryTableField id="20" dataBound="0" tableColumnId="18"/>
      <queryTableField id="21" dataBound="0" tableColumnId="19"/>
      <queryTableField id="22" dataBound="0" tableColumnId="20"/>
      <queryTableField id="23" dataBound="0" tableColumnId="21"/>
    </queryTableFields>
    <queryTableDeletedFields count="1">
      <deletedField name="Sl N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48312B2B-70F0-4452-BF97-D462362257D6}" autoFormatId="16" applyNumberFormats="0" applyBorderFormats="0" applyFontFormats="0" applyPatternFormats="0" applyAlignmentFormats="0" applyWidthHeightFormats="0">
  <queryTableRefresh nextId="24" unboundColumnsRight="15">
    <queryTableFields count="21">
      <queryTableField id="14" name="Sl No" tableColumnId="14"/>
      <queryTableField id="2" name="Districts/City" tableColumnId="2"/>
      <queryTableField id="3" name="total - 2023" tableColumnId="3"/>
      <queryTableField id="4" name="Women_score" tableColumnId="4"/>
      <queryTableField id="5" name="Murder _cases" tableColumnId="5"/>
      <queryTableField id="6" name="Road Accidents - Incidence" tableColumnId="6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7" dataBound="0" tableColumnId="7"/>
      <queryTableField id="8" dataBound="0" tableColumnId="8"/>
      <queryTableField id="9" dataBound="0" tableColumnId="9"/>
      <queryTableField id="16" dataBound="0" tableColumnId="1"/>
      <queryTableField id="17" dataBound="0" tableColumnId="15"/>
      <queryTableField id="18" dataBound="0" tableColumnId="16"/>
      <queryTableField id="19" dataBound="0" tableColumnId="17"/>
      <queryTableField id="20" dataBound="0" tableColumnId="18"/>
      <queryTableField id="21" dataBound="0" tableColumnId="19"/>
      <queryTableField id="22" dataBound="0" tableColumnId="20"/>
      <queryTableField id="23" dataBound="0" tableColumnId="21"/>
    </queryTableFields>
    <queryTableDeletedFields count="1">
      <deletedField name="Sl No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6524DD1-EA7D-4DFF-AB17-15621491941D}" autoFormatId="16" applyNumberFormats="0" applyBorderFormats="0" applyFontFormats="0" applyPatternFormats="0" applyAlignmentFormats="0" applyWidthHeightFormats="0">
  <queryTableRefresh nextId="7">
    <queryTableFields count="6">
      <queryTableField id="1" name="Sl No" tableColumnId="1"/>
      <queryTableField id="2" name="Districts/City" tableColumnId="2"/>
      <queryTableField id="3" name="total - 2023" tableColumnId="3"/>
      <queryTableField id="4" name="Women_score" tableColumnId="4"/>
      <queryTableField id="5" name="Murder _cases" tableColumnId="5"/>
      <queryTableField id="6" name="Road Accidents - Inciden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D2656043-CCE6-49C1-8B9D-081772F9FE4D}" autoFormatId="16" applyNumberFormats="0" applyBorderFormats="0" applyFontFormats="0" applyPatternFormats="0" applyAlignmentFormats="0" applyWidthHeightFormats="0">
  <queryTableRefresh nextId="4">
    <queryTableFields count="3">
      <queryTableField id="1" name="Sl No" tableColumnId="1"/>
      <queryTableField id="2" name="Districts/City" tableColumnId="2"/>
      <queryTableField id="3" name="Road Accidents - Inciden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BFB8B-3241-4ECF-8278-C1161D493CF6}" name="tbl_MasterModel" displayName="tbl_MasterModel" ref="A5:U55" tableType="queryTable" totalsRowShown="0" headerRowDxfId="34">
  <autoFilter ref="A5:U55" xr:uid="{2DFBFB8B-3241-4ECF-8278-C1161D493CF6}"/>
  <sortState xmlns:xlrd2="http://schemas.microsoft.com/office/spreadsheetml/2017/richdata2" ref="A6:U55">
    <sortCondition ref="A7:A55"/>
  </sortState>
  <tableColumns count="21">
    <tableColumn id="14" xr3:uid="{3BDC6966-BAE1-446D-AAB6-09D5AF992D51}" uniqueName="14" name="Sl No" queryTableFieldId="14"/>
    <tableColumn id="2" xr3:uid="{A4FCD881-D78D-4B9F-81B2-3894543E7040}" uniqueName="2" name="Districts/City" queryTableFieldId="2" dataDxfId="33"/>
    <tableColumn id="3" xr3:uid="{17A6786F-D717-45CA-B4DE-A6565E4535DB}" uniqueName="3" name="total - 2023" queryTableFieldId="3"/>
    <tableColumn id="4" xr3:uid="{38E9AF30-3B15-44C7-96DB-12123A817508}" uniqueName="4" name="Women_score" queryTableFieldId="4"/>
    <tableColumn id="5" xr3:uid="{A88D3FE3-BB54-447F-91A3-C0D825C768C3}" uniqueName="5" name="Murder _cases" queryTableFieldId="5"/>
    <tableColumn id="6" xr3:uid="{BF59FF54-34A8-4553-B2DE-159A4715E40B}" uniqueName="6" name="Road Accidents - Incidence" queryTableFieldId="6"/>
    <tableColumn id="10" xr3:uid="{CBAE8F2B-4B98-423D-89BD-A69D8E8C1DD6}" uniqueName="10" name="crime_rank" queryTableFieldId="10" dataDxfId="32"/>
    <tableColumn id="11" xr3:uid="{D0189971-EA84-417C-B33A-95ACC634854B}" uniqueName="11" name="Women_rank" queryTableFieldId="11" dataDxfId="31"/>
    <tableColumn id="12" xr3:uid="{DEC1C796-EB8F-40E9-BF2A-FA551BE28E8A}" uniqueName="12" name="murder_rank" queryTableFieldId="12" dataDxfId="30"/>
    <tableColumn id="13" xr3:uid="{E1ACF317-26D1-4F56-B4AF-BEB18899C2B1}" uniqueName="13" name="accident_rank" queryTableFieldId="13" dataDxfId="29"/>
    <tableColumn id="7" xr3:uid="{A1C28F9B-C541-4220-86ED-01E2CA4BE1E6}" uniqueName="7" name="Risk_Score" queryTableFieldId="7" dataDxfId="28"/>
    <tableColumn id="8" xr3:uid="{A1307AE4-A393-4C65-8853-3A72A38F81E8}" uniqueName="8" name="Risk_Category " queryTableFieldId="8" dataDxfId="27"/>
    <tableColumn id="9" xr3:uid="{6D555BDB-2E8F-4967-976D-ADEE4A9C0C7D}" uniqueName="9" name="District_Rank" queryTableFieldId="9" dataDxfId="26"/>
    <tableColumn id="1" xr3:uid="{8166FE1A-BD6A-4EEB-9EDA-1C4505CB5532}" uniqueName="1" name="Women Safety Ratio" queryTableFieldId="16" dataDxfId="25" dataCellStyle="Percent"/>
    <tableColumn id="15" xr3:uid="{B80DA034-ED67-4F1C-A8E9-68F0C207E7C9}" uniqueName="15" name="Murder Rate" queryTableFieldId="17" dataDxfId="24"/>
    <tableColumn id="16" xr3:uid="{5FD0852E-B7C6-4B65-87B8-D5D797BC2A4B}" uniqueName="16" name="Accident Rate" queryTableFieldId="18" dataDxfId="23"/>
    <tableColumn id="17" xr3:uid="{735A9EDD-9229-4901-B07F-5AB7E724AC24}" uniqueName="17" name="Severity Index" queryTableFieldId="19" dataDxfId="22"/>
    <tableColumn id="18" xr3:uid="{9D2D0209-0919-4CFD-BCD9-51D2ACD7A12E}" uniqueName="18" name="Public Safety Index" queryTableFieldId="20" dataDxfId="21"/>
    <tableColumn id="19" xr3:uid="{E0ACE615-22D5-4111-A1C0-3086AFAEE68A}" uniqueName="19" name="Crime Contribution %" queryTableFieldId="21" dataDxfId="20"/>
    <tableColumn id="20" xr3:uid="{77688DFD-2841-4834-94AE-3AC3C8DC7B0D}" uniqueName="20" name="Crime Level" queryTableFieldId="22" dataDxfId="19"/>
    <tableColumn id="21" xr3:uid="{61FAB976-E13C-4792-991E-EA19DE3009AD}" uniqueName="21" name="Priority Level" queryTableFieldId="23" dataDxfId="1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AE1BF-0CA0-4E90-9FEB-A65F92A721BE}" name="tbl_MasterModel7" displayName="tbl_MasterModel7" ref="A106:U157" tableType="queryTable" totalsRowShown="0" headerRowDxfId="17">
  <autoFilter ref="A106:U157" xr:uid="{3B5AE1BF-0CA0-4E90-9FEB-A65F92A721BE}"/>
  <tableColumns count="21">
    <tableColumn id="14" xr3:uid="{AB97A06C-6B5D-469D-84E8-AF3D65B070C1}" uniqueName="14" name="Sl No" queryTableFieldId="14"/>
    <tableColumn id="2" xr3:uid="{105935DE-72A8-4387-A057-A1228596E4DC}" uniqueName="2" name="Districts/City" queryTableFieldId="2" dataDxfId="16"/>
    <tableColumn id="3" xr3:uid="{D9F6E2F5-5563-4F78-9C8A-C29FB1735CF8}" uniqueName="3" name="total - 2023" queryTableFieldId="3"/>
    <tableColumn id="4" xr3:uid="{37BFB5B4-AE23-4056-AEAA-61EB4AFDC0AC}" uniqueName="4" name="Women_score" queryTableFieldId="4"/>
    <tableColumn id="5" xr3:uid="{40095860-E3CF-405D-85D3-BAC8C497EB48}" uniqueName="5" name="Murder _cases" queryTableFieldId="5"/>
    <tableColumn id="6" xr3:uid="{394376F7-1625-4201-9B6E-DBC54A15895F}" uniqueName="6" name="Road Accidents - Incidence" queryTableFieldId="6"/>
    <tableColumn id="10" xr3:uid="{C63E3611-3B53-4A41-B64D-22D0CF96FEA3}" uniqueName="10" name="crime_rank" queryTableFieldId="10" dataDxfId="15"/>
    <tableColumn id="11" xr3:uid="{4576C47A-51F6-4B8E-9A13-55A04D2C2F3A}" uniqueName="11" name="Women_rank" queryTableFieldId="11" dataDxfId="14"/>
    <tableColumn id="12" xr3:uid="{07F17A5F-4C39-4E2D-A3BB-EFE00861D4BF}" uniqueName="12" name="murder_rank" queryTableFieldId="12" dataDxfId="13"/>
    <tableColumn id="13" xr3:uid="{C69E3563-D25F-4AD4-A3CF-8E57C6700C9A}" uniqueName="13" name="accident_rank" queryTableFieldId="13" dataDxfId="12"/>
    <tableColumn id="7" xr3:uid="{585CE064-565E-465F-945F-DDE15C326AC4}" uniqueName="7" name="Risk_Score" queryTableFieldId="7" dataDxfId="11"/>
    <tableColumn id="8" xr3:uid="{CDFF775D-8862-4184-A6C0-7F9FE39D7094}" uniqueName="8" name=" Risk_Category " queryTableFieldId="8" dataDxfId="10"/>
    <tableColumn id="9" xr3:uid="{E83A6A66-203E-42B6-A9A4-8C1AB3810969}" uniqueName="9" name="District_Rank" queryTableFieldId="9" dataDxfId="9"/>
    <tableColumn id="1" xr3:uid="{2B506250-CB43-4516-BD4C-CD606CA83963}" uniqueName="1" name="Women Safety Ratio" queryTableFieldId="16" dataDxfId="8" dataCellStyle="Percent"/>
    <tableColumn id="15" xr3:uid="{675F4878-283E-4EFD-901A-19DB01186A07}" uniqueName="15" name="Murder Rate" queryTableFieldId="17" dataDxfId="7"/>
    <tableColumn id="16" xr3:uid="{3B5F5BC7-00EA-4BC2-AFAC-6DF4C5E68638}" uniqueName="16" name="Accident Rate" queryTableFieldId="18" dataDxfId="6"/>
    <tableColumn id="17" xr3:uid="{49E59D26-4C3E-4738-9B75-CBA841B61AF2}" uniqueName="17" name="Severity Index" queryTableFieldId="19" dataDxfId="5"/>
    <tableColumn id="18" xr3:uid="{EB72B63E-EFD5-4CFF-8172-92F88A30F632}" uniqueName="18" name="Public Safety Index" queryTableFieldId="20" dataDxfId="4"/>
    <tableColumn id="19" xr3:uid="{560BF385-2C8C-4E4D-9555-5E0FCFD37021}" uniqueName="19" name="Crime Contribution %" queryTableFieldId="21" dataDxfId="3"/>
    <tableColumn id="20" xr3:uid="{31CA55DB-BCBC-4A1B-A34D-40D9D47FBEE3}" uniqueName="20" name="Crime Level" queryTableFieldId="22" dataDxfId="2"/>
    <tableColumn id="21" xr3:uid="{A7A5E26A-AC4A-4D55-8337-8AF27B3C5318}" uniqueName="21" name="Priority Level" queryTableFieldId="23" dataDxfId="1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DD7977-0635-45FD-A51A-A24AD42E952A}" name="Merge1" displayName="Merge1" ref="B5:G56" tableType="queryTable" totalsRowShown="0">
  <autoFilter ref="B5:G56" xr:uid="{75DD7977-0635-45FD-A51A-A24AD42E952A}"/>
  <tableColumns count="6">
    <tableColumn id="1" xr3:uid="{748C1DFC-F724-4CE8-99BA-C1C44D1030AB}" uniqueName="1" name="Sl No" queryTableFieldId="1"/>
    <tableColumn id="2" xr3:uid="{F99A2A2B-3EF0-4052-96C2-DB5883B170AF}" uniqueName="2" name="Districts/City" queryTableFieldId="2" dataDxfId="38"/>
    <tableColumn id="3" xr3:uid="{CA6D4C9D-2237-490E-B061-C7A5CE70EB6C}" uniqueName="3" name="total - 2023" queryTableFieldId="3"/>
    <tableColumn id="4" xr3:uid="{141345B3-E7F5-4592-986F-A024F973986E}" uniqueName="4" name="Women_score" queryTableFieldId="4"/>
    <tableColumn id="5" xr3:uid="{D3C611C4-1A08-41B0-AF8E-BEE37C866A5F}" uniqueName="5" name="Murder _cases" queryTableFieldId="5"/>
    <tableColumn id="6" xr3:uid="{AD7E210D-D375-41BA-9FE7-421FD43DBF89}" uniqueName="6" name="Road Accidents - Inciden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5F7354-4B24-4369-8124-1E3F24FA1450}" name="IPC_MASTER13" displayName="IPC_MASTER13" ref="J5:L56" totalsRowShown="0">
  <autoFilter ref="J5:L56" xr:uid="{295F7354-4B24-4369-8124-1E3F24FA1450}"/>
  <tableColumns count="3">
    <tableColumn id="1" xr3:uid="{3FFA563B-43BE-4C0B-A83E-55860DEFDC7D}" name="Sl No"/>
    <tableColumn id="2" xr3:uid="{497D28EE-6BF0-4EF8-9A5A-71BC6812567D}" name="Districts/City" dataDxfId="37"/>
    <tableColumn id="21" xr3:uid="{E46359F0-7AD1-4E61-9800-3A40E8DB0908}" name="total - 20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B3199B-F8BE-40A0-A298-55BF56E069F8}" name="MURDER_MASTER14" displayName="MURDER_MASTER14" ref="T5:V56" totalsRowShown="0">
  <autoFilter ref="T5:V56" xr:uid="{88B3199B-F8BE-40A0-A298-55BF56E069F8}"/>
  <tableColumns count="3">
    <tableColumn id="1" xr3:uid="{ACBC8FFC-0A77-451D-86AB-B37AA7F95D17}" name="Sl No"/>
    <tableColumn id="12" xr3:uid="{58B512F8-D388-4A0C-8FF7-2974F502FB15}" name="Districts" dataDxfId="36"/>
    <tableColumn id="13" xr3:uid="{A75F7F34-EB22-49D8-AF97-104251AB4110}" name="Murder _cas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4E3D87-7F26-43C0-9880-F44971084E31}" name="ACCIDENT_MASTER__216" displayName="ACCIDENT_MASTER__216" ref="Y5:AA56" tableType="queryTable" totalsRowShown="0">
  <autoFilter ref="Y5:AA56" xr:uid="{E04E3D87-7F26-43C0-9880-F44971084E31}"/>
  <tableColumns count="3">
    <tableColumn id="1" xr3:uid="{8E53E407-C279-4F6B-8EEE-0D1BA61C6C32}" uniqueName="1" name="Sl No" queryTableFieldId="1"/>
    <tableColumn id="2" xr3:uid="{D1F095E0-B712-4817-8250-3E8F2E6B8B30}" uniqueName="2" name="Districts/City" queryTableFieldId="2" dataDxfId="35"/>
    <tableColumn id="3" xr3:uid="{20F4908F-563D-4C4C-8C13-4173A7D311A2}" uniqueName="3" name="Road Accidents - Inciden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C8D9-4129-4556-BCC1-3A1A3B7AD2DC}">
  <dimension ref="A1:AF157"/>
  <sheetViews>
    <sheetView tabSelected="1" workbookViewId="0">
      <selection sqref="A1:D2"/>
    </sheetView>
  </sheetViews>
  <sheetFormatPr defaultRowHeight="14.4" x14ac:dyDescent="0.3"/>
  <cols>
    <col min="1" max="1" width="8.33203125" bestFit="1" customWidth="1"/>
    <col min="2" max="2" width="21.5546875" bestFit="1" customWidth="1"/>
    <col min="3" max="3" width="19.109375" bestFit="1" customWidth="1"/>
    <col min="4" max="5" width="22.77734375" bestFit="1" customWidth="1"/>
    <col min="6" max="6" width="36.88671875" bestFit="1" customWidth="1"/>
    <col min="7" max="7" width="19" bestFit="1" customWidth="1"/>
    <col min="8" max="8" width="21.21875" bestFit="1" customWidth="1"/>
    <col min="9" max="9" width="20.6640625" bestFit="1" customWidth="1"/>
    <col min="10" max="10" width="22.21875" bestFit="1" customWidth="1"/>
    <col min="11" max="11" width="19" bestFit="1" customWidth="1"/>
    <col min="12" max="12" width="23" style="7" bestFit="1" customWidth="1"/>
    <col min="13" max="13" width="21.5546875" bestFit="1" customWidth="1"/>
    <col min="14" max="14" width="29" bestFit="1" customWidth="1"/>
    <col min="15" max="15" width="20.109375" bestFit="1" customWidth="1"/>
    <col min="16" max="17" width="22.109375" bestFit="1" customWidth="1"/>
    <col min="18" max="18" width="27.6640625" bestFit="1" customWidth="1"/>
    <col min="19" max="19" width="30.6640625" bestFit="1" customWidth="1"/>
    <col min="20" max="20" width="19.88671875" bestFit="1" customWidth="1"/>
    <col min="21" max="21" width="21" bestFit="1" customWidth="1"/>
    <col min="22" max="22" width="12.21875" customWidth="1"/>
  </cols>
  <sheetData>
    <row r="1" spans="1:32" ht="18" x14ac:dyDescent="0.3">
      <c r="A1" s="22" t="s">
        <v>0</v>
      </c>
      <c r="B1" s="22"/>
      <c r="C1" s="22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.600000000000001" thickBot="1" x14ac:dyDescent="0.35">
      <c r="A2" s="22"/>
      <c r="B2" s="22"/>
      <c r="C2" s="22"/>
      <c r="D2" s="2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8" customHeight="1" x14ac:dyDescent="0.3">
      <c r="A3" s="23" t="s">
        <v>1</v>
      </c>
      <c r="B3" s="24"/>
      <c r="C3" s="24"/>
      <c r="D3" s="24"/>
      <c r="E3" s="24"/>
      <c r="F3" s="25"/>
      <c r="G3" s="23" t="s">
        <v>2</v>
      </c>
      <c r="H3" s="29"/>
      <c r="I3" s="29"/>
      <c r="J3" s="30"/>
      <c r="K3" s="23" t="s">
        <v>3</v>
      </c>
      <c r="L3" s="34"/>
      <c r="M3" s="35"/>
      <c r="N3" s="23" t="s">
        <v>4</v>
      </c>
      <c r="O3" s="34"/>
      <c r="P3" s="34"/>
      <c r="Q3" s="34"/>
      <c r="R3" s="34"/>
      <c r="S3" s="35"/>
      <c r="T3" s="23" t="s">
        <v>5</v>
      </c>
      <c r="U3" s="35"/>
    </row>
    <row r="4" spans="1:32" ht="18.600000000000001" customHeight="1" thickBot="1" x14ac:dyDescent="0.35">
      <c r="A4" s="26"/>
      <c r="B4" s="27"/>
      <c r="C4" s="27"/>
      <c r="D4" s="27"/>
      <c r="E4" s="27"/>
      <c r="F4" s="28"/>
      <c r="G4" s="31"/>
      <c r="H4" s="32"/>
      <c r="I4" s="32"/>
      <c r="J4" s="33"/>
      <c r="K4" s="36"/>
      <c r="L4" s="37"/>
      <c r="M4" s="38"/>
      <c r="N4" s="36"/>
      <c r="O4" s="37"/>
      <c r="P4" s="37"/>
      <c r="Q4" s="37"/>
      <c r="R4" s="37"/>
      <c r="S4" s="38"/>
      <c r="T4" s="36"/>
      <c r="U4" s="38"/>
    </row>
    <row r="5" spans="1:32" ht="18" x14ac:dyDescent="0.3">
      <c r="A5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3" t="s">
        <v>16</v>
      </c>
      <c r="L5" s="4" t="s">
        <v>17</v>
      </c>
      <c r="M5" s="3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</row>
    <row r="6" spans="1:32" x14ac:dyDescent="0.3">
      <c r="A6">
        <v>1</v>
      </c>
      <c r="B6" t="s">
        <v>27</v>
      </c>
      <c r="C6">
        <v>4375</v>
      </c>
      <c r="D6">
        <v>15</v>
      </c>
      <c r="E6">
        <v>16</v>
      </c>
      <c r="F6">
        <v>183</v>
      </c>
      <c r="G6">
        <v>45</v>
      </c>
      <c r="H6">
        <v>38</v>
      </c>
      <c r="I6">
        <v>42</v>
      </c>
      <c r="J6">
        <v>39</v>
      </c>
      <c r="K6" s="6">
        <v>17.551020408163268</v>
      </c>
      <c r="L6" s="7" t="s">
        <v>28</v>
      </c>
      <c r="M6">
        <v>45</v>
      </c>
      <c r="N6" s="8">
        <v>3.4285714285714284E-3</v>
      </c>
      <c r="O6" s="9">
        <v>3.6571428571428571E-3</v>
      </c>
      <c r="P6" s="9">
        <v>4.182857142857143E-2</v>
      </c>
      <c r="Q6" s="10">
        <v>1.2457142857142858</v>
      </c>
      <c r="R6" s="6">
        <v>82.448979591836732</v>
      </c>
      <c r="S6" s="9">
        <v>8.1070914350200411E-3</v>
      </c>
      <c r="T6" s="7" t="s">
        <v>28</v>
      </c>
      <c r="U6" t="s">
        <v>29</v>
      </c>
    </row>
    <row r="7" spans="1:32" x14ac:dyDescent="0.3">
      <c r="A7">
        <v>2</v>
      </c>
      <c r="B7" t="s">
        <v>30</v>
      </c>
      <c r="C7">
        <v>36502</v>
      </c>
      <c r="D7">
        <v>181</v>
      </c>
      <c r="E7">
        <v>105</v>
      </c>
      <c r="F7">
        <v>499</v>
      </c>
      <c r="G7">
        <v>1</v>
      </c>
      <c r="H7">
        <v>1</v>
      </c>
      <c r="I7">
        <v>1</v>
      </c>
      <c r="J7">
        <v>14</v>
      </c>
      <c r="K7" s="6">
        <v>96.020408163265301</v>
      </c>
      <c r="L7" s="7" t="s">
        <v>31</v>
      </c>
      <c r="M7">
        <v>1</v>
      </c>
      <c r="N7" s="8">
        <v>4.9586324037039064E-3</v>
      </c>
      <c r="O7" s="9">
        <v>2.8765547093309958E-3</v>
      </c>
      <c r="P7" s="9">
        <v>1.367048380910635E-2</v>
      </c>
      <c r="Q7" s="10">
        <v>1.319105802421785</v>
      </c>
      <c r="R7" s="6">
        <v>3.9795918367346985</v>
      </c>
      <c r="S7" s="9">
        <v>6.7640011785394638E-2</v>
      </c>
      <c r="T7" s="7" t="s">
        <v>32</v>
      </c>
      <c r="U7" t="s">
        <v>33</v>
      </c>
    </row>
    <row r="8" spans="1:32" x14ac:dyDescent="0.3">
      <c r="A8">
        <v>3</v>
      </c>
      <c r="B8" t="s">
        <v>34</v>
      </c>
      <c r="C8">
        <v>13791</v>
      </c>
      <c r="D8">
        <v>18</v>
      </c>
      <c r="E8">
        <v>52</v>
      </c>
      <c r="F8">
        <v>711</v>
      </c>
      <c r="G8">
        <v>12</v>
      </c>
      <c r="H8">
        <v>36</v>
      </c>
      <c r="I8">
        <v>8</v>
      </c>
      <c r="J8">
        <v>2</v>
      </c>
      <c r="K8" s="6">
        <v>67.551020408163268</v>
      </c>
      <c r="L8" s="7" t="s">
        <v>32</v>
      </c>
      <c r="M8">
        <v>17</v>
      </c>
      <c r="N8" s="8">
        <v>1.3051990428540352E-3</v>
      </c>
      <c r="O8" s="9">
        <v>3.770575012689435E-3</v>
      </c>
      <c r="P8" s="9">
        <v>5.1555362192734391E-2</v>
      </c>
      <c r="Q8" s="10">
        <v>0.94989485896599235</v>
      </c>
      <c r="R8" s="6">
        <v>32.448979591836732</v>
      </c>
      <c r="S8" s="9">
        <v>2.5555405252654029E-2</v>
      </c>
      <c r="T8" s="7" t="s">
        <v>32</v>
      </c>
      <c r="U8" t="s">
        <v>35</v>
      </c>
    </row>
    <row r="9" spans="1:32" x14ac:dyDescent="0.3">
      <c r="A9">
        <v>4</v>
      </c>
      <c r="B9" t="s">
        <v>36</v>
      </c>
      <c r="C9">
        <v>8812</v>
      </c>
      <c r="D9">
        <v>29</v>
      </c>
      <c r="E9">
        <v>22</v>
      </c>
      <c r="F9">
        <v>298</v>
      </c>
      <c r="G9">
        <v>32</v>
      </c>
      <c r="H9">
        <v>28</v>
      </c>
      <c r="I9">
        <v>35</v>
      </c>
      <c r="J9">
        <v>29</v>
      </c>
      <c r="K9" s="6">
        <v>38.877551020408163</v>
      </c>
      <c r="L9" s="7" t="s">
        <v>28</v>
      </c>
      <c r="M9">
        <v>35</v>
      </c>
      <c r="N9" s="8">
        <v>3.2909668633681346E-3</v>
      </c>
      <c r="O9" s="9">
        <v>2.4965955515206537E-3</v>
      </c>
      <c r="P9" s="9">
        <v>3.3817521561507038E-2</v>
      </c>
      <c r="Q9" s="10">
        <v>0.99296413980935094</v>
      </c>
      <c r="R9" s="6">
        <v>61.122448979591837</v>
      </c>
      <c r="S9" s="9">
        <v>1.6329071937233507E-2</v>
      </c>
      <c r="T9" s="7" t="s">
        <v>28</v>
      </c>
      <c r="U9" t="s">
        <v>29</v>
      </c>
    </row>
    <row r="10" spans="1:32" x14ac:dyDescent="0.3">
      <c r="A10">
        <v>5</v>
      </c>
      <c r="B10" t="s">
        <v>37</v>
      </c>
      <c r="C10">
        <v>18923</v>
      </c>
      <c r="D10">
        <v>51</v>
      </c>
      <c r="E10">
        <v>52</v>
      </c>
      <c r="F10">
        <v>541</v>
      </c>
      <c r="G10">
        <v>4</v>
      </c>
      <c r="H10">
        <v>12</v>
      </c>
      <c r="I10">
        <v>8</v>
      </c>
      <c r="J10">
        <v>10</v>
      </c>
      <c r="K10" s="6">
        <v>85.510204081632651</v>
      </c>
      <c r="L10" s="7" t="s">
        <v>31</v>
      </c>
      <c r="M10">
        <v>3</v>
      </c>
      <c r="N10" s="8">
        <v>2.6951329070443375E-3</v>
      </c>
      <c r="O10" s="9">
        <v>2.7479786503197168E-3</v>
      </c>
      <c r="P10" s="9">
        <v>2.858954711198013E-2</v>
      </c>
      <c r="Q10" s="10">
        <v>0.95386566612059398</v>
      </c>
      <c r="R10" s="6">
        <v>14.489795918367349</v>
      </c>
      <c r="S10" s="9">
        <v>3.5065255137116398E-2</v>
      </c>
      <c r="T10" s="7" t="s">
        <v>32</v>
      </c>
      <c r="U10" t="s">
        <v>33</v>
      </c>
    </row>
    <row r="11" spans="1:32" x14ac:dyDescent="0.3">
      <c r="A11">
        <v>6</v>
      </c>
      <c r="B11" t="s">
        <v>38</v>
      </c>
      <c r="C11">
        <v>8513</v>
      </c>
      <c r="D11">
        <v>35</v>
      </c>
      <c r="E11">
        <v>23</v>
      </c>
      <c r="F11">
        <v>341</v>
      </c>
      <c r="G11">
        <v>34</v>
      </c>
      <c r="H11">
        <v>25</v>
      </c>
      <c r="I11">
        <v>33</v>
      </c>
      <c r="J11">
        <v>24</v>
      </c>
      <c r="K11" s="6">
        <v>41.632653061224488</v>
      </c>
      <c r="L11" s="7" t="s">
        <v>39</v>
      </c>
      <c r="M11">
        <v>33</v>
      </c>
      <c r="N11" s="8">
        <v>4.1113590978503469E-3</v>
      </c>
      <c r="O11" s="9">
        <v>2.7017502643016562E-3</v>
      </c>
      <c r="P11" s="9">
        <v>4.0056384353341946E-2</v>
      </c>
      <c r="Q11" s="10">
        <v>1.1570539175378833</v>
      </c>
      <c r="R11" s="6">
        <v>58.367346938775512</v>
      </c>
      <c r="S11" s="9">
        <v>1.5775010145445852E-2</v>
      </c>
      <c r="T11" s="7" t="s">
        <v>28</v>
      </c>
      <c r="U11" t="s">
        <v>29</v>
      </c>
    </row>
    <row r="12" spans="1:32" x14ac:dyDescent="0.3">
      <c r="A12">
        <v>7</v>
      </c>
      <c r="B12" t="s">
        <v>40</v>
      </c>
      <c r="C12">
        <v>11472</v>
      </c>
      <c r="D12">
        <v>42</v>
      </c>
      <c r="E12">
        <v>62</v>
      </c>
      <c r="F12">
        <v>730</v>
      </c>
      <c r="G12">
        <v>19</v>
      </c>
      <c r="H12">
        <v>19</v>
      </c>
      <c r="I12">
        <v>4</v>
      </c>
      <c r="J12">
        <v>1</v>
      </c>
      <c r="K12" s="6">
        <v>74.897959183673464</v>
      </c>
      <c r="L12" s="7" t="s">
        <v>32</v>
      </c>
      <c r="M12">
        <v>9</v>
      </c>
      <c r="N12" s="8">
        <v>3.6610878661087866E-3</v>
      </c>
      <c r="O12" s="9">
        <v>5.4044630404463043E-3</v>
      </c>
      <c r="P12" s="9">
        <v>6.3633193863319393E-2</v>
      </c>
      <c r="Q12" s="10">
        <v>1.6300557880055788</v>
      </c>
      <c r="R12" s="6">
        <v>25.102040816326536</v>
      </c>
      <c r="S12" s="9">
        <v>2.1258183529725694E-2</v>
      </c>
      <c r="T12" s="7" t="s">
        <v>41</v>
      </c>
      <c r="U12" t="s">
        <v>29</v>
      </c>
    </row>
    <row r="13" spans="1:32" x14ac:dyDescent="0.3">
      <c r="A13">
        <v>8</v>
      </c>
      <c r="B13" t="s">
        <v>42</v>
      </c>
      <c r="C13">
        <v>9925</v>
      </c>
      <c r="D13">
        <v>25</v>
      </c>
      <c r="E13">
        <v>37</v>
      </c>
      <c r="F13">
        <v>659</v>
      </c>
      <c r="G13">
        <v>30</v>
      </c>
      <c r="H13">
        <v>30</v>
      </c>
      <c r="I13">
        <v>18</v>
      </c>
      <c r="J13">
        <v>5</v>
      </c>
      <c r="K13" s="6">
        <v>53.367346938775512</v>
      </c>
      <c r="L13" s="7" t="s">
        <v>39</v>
      </c>
      <c r="M13">
        <v>24</v>
      </c>
      <c r="N13" s="8">
        <v>2.5188916876574307E-3</v>
      </c>
      <c r="O13" s="9">
        <v>3.7279596977329976E-3</v>
      </c>
      <c r="P13" s="9">
        <v>6.6397984886649872E-2</v>
      </c>
      <c r="Q13" s="10">
        <v>1.1234256926952142</v>
      </c>
      <c r="R13" s="6">
        <v>46.632653061224488</v>
      </c>
      <c r="S13" s="9">
        <v>1.8391515998302608E-2</v>
      </c>
      <c r="T13" s="7" t="s">
        <v>28</v>
      </c>
      <c r="U13" t="s">
        <v>29</v>
      </c>
    </row>
    <row r="14" spans="1:32" x14ac:dyDescent="0.3">
      <c r="A14">
        <v>9</v>
      </c>
      <c r="B14" t="s">
        <v>43</v>
      </c>
      <c r="C14">
        <v>10782</v>
      </c>
      <c r="D14">
        <v>15</v>
      </c>
      <c r="E14">
        <v>36</v>
      </c>
      <c r="F14">
        <v>288</v>
      </c>
      <c r="G14">
        <v>24</v>
      </c>
      <c r="H14">
        <v>38</v>
      </c>
      <c r="I14">
        <v>20</v>
      </c>
      <c r="J14">
        <v>30</v>
      </c>
      <c r="K14" s="6">
        <v>44.285714285714285</v>
      </c>
      <c r="L14" s="7" t="s">
        <v>39</v>
      </c>
      <c r="M14">
        <v>32</v>
      </c>
      <c r="N14" s="8">
        <v>1.3912075681691708E-3</v>
      </c>
      <c r="O14" s="9">
        <v>3.3388981636060101E-3</v>
      </c>
      <c r="P14" s="9">
        <v>2.6711185308848081E-2</v>
      </c>
      <c r="Q14" s="10">
        <v>0.87646076794657757</v>
      </c>
      <c r="R14" s="6">
        <v>55.714285714285715</v>
      </c>
      <c r="S14" s="9">
        <v>1.9979579394831103E-2</v>
      </c>
      <c r="T14" s="7" t="s">
        <v>41</v>
      </c>
      <c r="U14" t="s">
        <v>44</v>
      </c>
    </row>
    <row r="15" spans="1:32" x14ac:dyDescent="0.3">
      <c r="A15">
        <v>10</v>
      </c>
      <c r="B15" t="s">
        <v>45</v>
      </c>
      <c r="C15">
        <v>7857</v>
      </c>
      <c r="D15">
        <v>14</v>
      </c>
      <c r="E15">
        <v>31</v>
      </c>
      <c r="F15">
        <v>328</v>
      </c>
      <c r="G15">
        <v>37</v>
      </c>
      <c r="H15">
        <v>41</v>
      </c>
      <c r="I15">
        <v>25</v>
      </c>
      <c r="J15">
        <v>25</v>
      </c>
      <c r="K15" s="6">
        <v>32.653061224489797</v>
      </c>
      <c r="L15" s="7" t="s">
        <v>28</v>
      </c>
      <c r="M15">
        <v>38</v>
      </c>
      <c r="N15" s="8">
        <v>1.7818505791014382E-3</v>
      </c>
      <c r="O15" s="9">
        <v>3.945526282296042E-3</v>
      </c>
      <c r="P15" s="9">
        <v>4.1746213567519411E-2</v>
      </c>
      <c r="Q15" s="10">
        <v>1.0563828433244242</v>
      </c>
      <c r="R15" s="6">
        <v>67.34693877551021</v>
      </c>
      <c r="S15" s="9">
        <v>1.4559409692560562E-2</v>
      </c>
      <c r="T15" s="7" t="s">
        <v>28</v>
      </c>
      <c r="U15" t="s">
        <v>29</v>
      </c>
    </row>
    <row r="16" spans="1:32" x14ac:dyDescent="0.3">
      <c r="A16">
        <v>11</v>
      </c>
      <c r="B16" t="s">
        <v>46</v>
      </c>
      <c r="C16">
        <v>7752</v>
      </c>
      <c r="D16">
        <v>9</v>
      </c>
      <c r="E16">
        <v>18</v>
      </c>
      <c r="F16">
        <v>348</v>
      </c>
      <c r="G16">
        <v>39</v>
      </c>
      <c r="H16">
        <v>44</v>
      </c>
      <c r="I16">
        <v>39</v>
      </c>
      <c r="J16">
        <v>23</v>
      </c>
      <c r="K16" s="6">
        <v>24.285714285714288</v>
      </c>
      <c r="L16" s="7" t="s">
        <v>28</v>
      </c>
      <c r="M16">
        <v>42</v>
      </c>
      <c r="N16" s="8">
        <v>1.1609907120743034E-3</v>
      </c>
      <c r="O16" s="9">
        <v>2.3219814241486067E-3</v>
      </c>
      <c r="P16" s="9">
        <v>4.4891640866873063E-2</v>
      </c>
      <c r="Q16" s="10">
        <v>0.63854489164086692</v>
      </c>
      <c r="R16" s="6">
        <v>75.714285714285708</v>
      </c>
      <c r="S16" s="9">
        <v>1.4364839498120081E-2</v>
      </c>
      <c r="T16" s="7" t="s">
        <v>28</v>
      </c>
      <c r="U16" t="s">
        <v>29</v>
      </c>
    </row>
    <row r="17" spans="1:21" x14ac:dyDescent="0.3">
      <c r="A17">
        <v>12</v>
      </c>
      <c r="B17" t="s">
        <v>47</v>
      </c>
      <c r="C17">
        <v>14392</v>
      </c>
      <c r="D17">
        <v>37</v>
      </c>
      <c r="E17">
        <v>59</v>
      </c>
      <c r="F17">
        <v>707</v>
      </c>
      <c r="G17">
        <v>11</v>
      </c>
      <c r="H17">
        <v>23</v>
      </c>
      <c r="I17">
        <v>6</v>
      </c>
      <c r="J17">
        <v>4</v>
      </c>
      <c r="K17" s="6">
        <v>76.428571428571416</v>
      </c>
      <c r="L17" s="7" t="s">
        <v>32</v>
      </c>
      <c r="M17">
        <v>6</v>
      </c>
      <c r="N17" s="8">
        <v>2.5708727070594775E-3</v>
      </c>
      <c r="O17" s="9">
        <v>4.0994997220678156E-3</v>
      </c>
      <c r="P17" s="9">
        <v>4.9124513618677042E-2</v>
      </c>
      <c r="Q17" s="10">
        <v>1.2055308504724849</v>
      </c>
      <c r="R17" s="6">
        <v>23.571428571428584</v>
      </c>
      <c r="S17" s="9">
        <v>2.6669087984641925E-2</v>
      </c>
      <c r="T17" s="7" t="s">
        <v>32</v>
      </c>
      <c r="U17" t="s">
        <v>35</v>
      </c>
    </row>
    <row r="18" spans="1:21" x14ac:dyDescent="0.3">
      <c r="A18">
        <v>13</v>
      </c>
      <c r="B18" t="s">
        <v>48</v>
      </c>
      <c r="C18">
        <v>12438</v>
      </c>
      <c r="D18">
        <v>69</v>
      </c>
      <c r="E18">
        <v>63</v>
      </c>
      <c r="F18">
        <v>575</v>
      </c>
      <c r="G18">
        <v>16</v>
      </c>
      <c r="H18">
        <v>9</v>
      </c>
      <c r="I18">
        <v>3</v>
      </c>
      <c r="J18">
        <v>8</v>
      </c>
      <c r="K18" s="6">
        <v>81.428571428571431</v>
      </c>
      <c r="L18" s="7" t="s">
        <v>31</v>
      </c>
      <c r="M18">
        <v>4</v>
      </c>
      <c r="N18" s="8">
        <v>5.5475156777616977E-3</v>
      </c>
      <c r="O18" s="9">
        <v>5.065123010130246E-3</v>
      </c>
      <c r="P18" s="9">
        <v>4.6229297314680819E-2</v>
      </c>
      <c r="Q18" s="10">
        <v>1.8451519536903038</v>
      </c>
      <c r="R18" s="6">
        <v>18.571428571428569</v>
      </c>
      <c r="S18" s="9">
        <v>2.3048229318578119E-2</v>
      </c>
      <c r="T18" s="7" t="s">
        <v>41</v>
      </c>
      <c r="U18" t="s">
        <v>29</v>
      </c>
    </row>
    <row r="19" spans="1:21" x14ac:dyDescent="0.3">
      <c r="A19">
        <v>14</v>
      </c>
      <c r="B19" t="s">
        <v>49</v>
      </c>
      <c r="C19">
        <v>15024</v>
      </c>
      <c r="D19">
        <v>58</v>
      </c>
      <c r="E19">
        <v>37</v>
      </c>
      <c r="F19">
        <v>253</v>
      </c>
      <c r="G19">
        <v>8</v>
      </c>
      <c r="H19">
        <v>11</v>
      </c>
      <c r="I19">
        <v>18</v>
      </c>
      <c r="J19">
        <v>34</v>
      </c>
      <c r="K19" s="6">
        <v>71.836734693877546</v>
      </c>
      <c r="L19" s="7" t="s">
        <v>32</v>
      </c>
      <c r="M19">
        <v>12</v>
      </c>
      <c r="N19" s="8">
        <v>3.8604898828541001E-3</v>
      </c>
      <c r="O19" s="9">
        <v>2.4627263045793398E-3</v>
      </c>
      <c r="P19" s="9">
        <v>1.683972310969116E-2</v>
      </c>
      <c r="Q19" s="10">
        <v>1.071618743343983</v>
      </c>
      <c r="R19" s="6">
        <v>28.163265306122454</v>
      </c>
      <c r="S19" s="9">
        <v>2.7840215250226535E-2</v>
      </c>
      <c r="T19" s="7" t="s">
        <v>32</v>
      </c>
      <c r="U19" t="s">
        <v>35</v>
      </c>
    </row>
    <row r="20" spans="1:21" x14ac:dyDescent="0.3">
      <c r="A20">
        <v>15</v>
      </c>
      <c r="B20" t="s">
        <v>50</v>
      </c>
      <c r="C20">
        <v>6250</v>
      </c>
      <c r="D20">
        <v>31</v>
      </c>
      <c r="E20">
        <v>15</v>
      </c>
      <c r="F20">
        <v>128</v>
      </c>
      <c r="G20">
        <v>43</v>
      </c>
      <c r="H20">
        <v>26</v>
      </c>
      <c r="I20">
        <v>43</v>
      </c>
      <c r="J20">
        <v>44</v>
      </c>
      <c r="K20" s="6">
        <v>24.387755102040821</v>
      </c>
      <c r="L20" s="7" t="s">
        <v>28</v>
      </c>
      <c r="M20">
        <v>41</v>
      </c>
      <c r="N20" s="8">
        <v>4.96E-3</v>
      </c>
      <c r="O20" s="9">
        <v>2.3999999999999998E-3</v>
      </c>
      <c r="P20" s="9">
        <v>2.0480000000000002E-2</v>
      </c>
      <c r="Q20" s="10">
        <v>1.224</v>
      </c>
      <c r="R20" s="6">
        <v>75.612244897959187</v>
      </c>
      <c r="S20" s="9">
        <v>1.1581559192885773E-2</v>
      </c>
      <c r="T20" s="7" t="s">
        <v>28</v>
      </c>
      <c r="U20" t="s">
        <v>29</v>
      </c>
    </row>
    <row r="21" spans="1:21" x14ac:dyDescent="0.3">
      <c r="A21">
        <v>16</v>
      </c>
      <c r="B21" t="s">
        <v>51</v>
      </c>
      <c r="C21">
        <v>8603</v>
      </c>
      <c r="D21">
        <v>36</v>
      </c>
      <c r="E21">
        <v>35</v>
      </c>
      <c r="F21">
        <v>552</v>
      </c>
      <c r="G21">
        <v>33</v>
      </c>
      <c r="H21">
        <v>24</v>
      </c>
      <c r="I21">
        <v>22</v>
      </c>
      <c r="J21">
        <v>9</v>
      </c>
      <c r="K21" s="6">
        <v>52.040816326530617</v>
      </c>
      <c r="L21" s="7" t="s">
        <v>39</v>
      </c>
      <c r="M21">
        <v>26</v>
      </c>
      <c r="N21" s="8">
        <v>4.1845867720562598E-3</v>
      </c>
      <c r="O21" s="9">
        <v>4.0683482506102524E-3</v>
      </c>
      <c r="P21" s="9">
        <v>6.4163663838195981E-2</v>
      </c>
      <c r="Q21" s="10">
        <v>1.4413576659304892</v>
      </c>
      <c r="R21" s="6">
        <v>47.959183673469383</v>
      </c>
      <c r="S21" s="9">
        <v>1.5941784597823409E-2</v>
      </c>
      <c r="T21" s="7" t="s">
        <v>28</v>
      </c>
      <c r="U21" t="s">
        <v>29</v>
      </c>
    </row>
    <row r="22" spans="1:21" x14ac:dyDescent="0.3">
      <c r="A22">
        <v>17</v>
      </c>
      <c r="B22" t="s">
        <v>52</v>
      </c>
      <c r="C22">
        <v>4522</v>
      </c>
      <c r="D22">
        <v>9</v>
      </c>
      <c r="E22">
        <v>10</v>
      </c>
      <c r="F22">
        <v>61</v>
      </c>
      <c r="G22">
        <v>44</v>
      </c>
      <c r="H22">
        <v>44</v>
      </c>
      <c r="I22">
        <v>45</v>
      </c>
      <c r="J22">
        <v>46</v>
      </c>
      <c r="K22" s="6">
        <v>11.22448979591837</v>
      </c>
      <c r="L22" s="7" t="s">
        <v>28</v>
      </c>
      <c r="M22">
        <v>46</v>
      </c>
      <c r="N22" s="8">
        <v>1.9902697921273774E-3</v>
      </c>
      <c r="O22" s="9">
        <v>2.2114108801415304E-3</v>
      </c>
      <c r="P22" s="9">
        <v>1.3489606368863335E-2</v>
      </c>
      <c r="Q22" s="10">
        <v>0.74082264484741267</v>
      </c>
      <c r="R22" s="6">
        <v>88.775510204081627</v>
      </c>
      <c r="S22" s="9">
        <v>8.379489707236714E-3</v>
      </c>
      <c r="T22" s="7" t="s">
        <v>28</v>
      </c>
      <c r="U22" t="s">
        <v>29</v>
      </c>
    </row>
    <row r="23" spans="1:21" x14ac:dyDescent="0.3">
      <c r="A23">
        <v>18</v>
      </c>
      <c r="B23" t="s">
        <v>53</v>
      </c>
      <c r="C23">
        <v>4054</v>
      </c>
      <c r="D23">
        <v>80</v>
      </c>
      <c r="E23">
        <v>12</v>
      </c>
      <c r="F23">
        <v>168</v>
      </c>
      <c r="G23">
        <v>46</v>
      </c>
      <c r="H23">
        <v>5</v>
      </c>
      <c r="I23">
        <v>44</v>
      </c>
      <c r="J23">
        <v>40</v>
      </c>
      <c r="K23" s="6">
        <v>35.918367346938773</v>
      </c>
      <c r="L23" s="7" t="s">
        <v>28</v>
      </c>
      <c r="M23">
        <v>37</v>
      </c>
      <c r="N23" s="8">
        <v>1.9733596447952639E-2</v>
      </c>
      <c r="O23" s="9">
        <v>2.9600394671928957E-3</v>
      </c>
      <c r="P23" s="9">
        <v>4.1440552540700545E-2</v>
      </c>
      <c r="Q23" s="10">
        <v>3.5520473606314753</v>
      </c>
      <c r="R23" s="6">
        <v>64.081632653061234</v>
      </c>
      <c r="S23" s="9">
        <v>7.5122625548734272E-3</v>
      </c>
      <c r="T23" s="7" t="s">
        <v>28</v>
      </c>
      <c r="U23" t="s">
        <v>29</v>
      </c>
    </row>
    <row r="24" spans="1:21" x14ac:dyDescent="0.3">
      <c r="A24">
        <v>19</v>
      </c>
      <c r="B24" t="s">
        <v>54</v>
      </c>
      <c r="C24">
        <v>10509</v>
      </c>
      <c r="D24">
        <v>44</v>
      </c>
      <c r="E24">
        <v>29</v>
      </c>
      <c r="F24">
        <v>423</v>
      </c>
      <c r="G24">
        <v>27</v>
      </c>
      <c r="H24">
        <v>17</v>
      </c>
      <c r="I24">
        <v>29</v>
      </c>
      <c r="J24">
        <v>18</v>
      </c>
      <c r="K24" s="6">
        <v>55</v>
      </c>
      <c r="L24" s="7" t="s">
        <v>39</v>
      </c>
      <c r="M24">
        <v>23</v>
      </c>
      <c r="N24" s="8">
        <v>4.1868874298220575E-3</v>
      </c>
      <c r="O24" s="9">
        <v>2.7595394423827195E-3</v>
      </c>
      <c r="P24" s="9">
        <v>4.025121324578932E-2</v>
      </c>
      <c r="Q24" s="10">
        <v>1.1799410029498525</v>
      </c>
      <c r="R24" s="6">
        <v>45</v>
      </c>
      <c r="S24" s="9">
        <v>1.9473696889285852E-2</v>
      </c>
      <c r="T24" s="7" t="s">
        <v>28</v>
      </c>
      <c r="U24" t="s">
        <v>29</v>
      </c>
    </row>
    <row r="25" spans="1:21" x14ac:dyDescent="0.3">
      <c r="A25">
        <v>20</v>
      </c>
      <c r="B25" t="s">
        <v>55</v>
      </c>
      <c r="C25">
        <v>10010</v>
      </c>
      <c r="D25">
        <v>31</v>
      </c>
      <c r="E25">
        <v>36</v>
      </c>
      <c r="F25">
        <v>402</v>
      </c>
      <c r="G25">
        <v>29</v>
      </c>
      <c r="H25">
        <v>26</v>
      </c>
      <c r="I25">
        <v>20</v>
      </c>
      <c r="J25">
        <v>20</v>
      </c>
      <c r="K25" s="6">
        <v>51.122448979591837</v>
      </c>
      <c r="L25" s="7" t="s">
        <v>39</v>
      </c>
      <c r="M25">
        <v>28</v>
      </c>
      <c r="N25" s="8">
        <v>3.0969030969030969E-3</v>
      </c>
      <c r="O25" s="9">
        <v>3.5964035964035964E-3</v>
      </c>
      <c r="P25" s="9">
        <v>4.0159840159840157E-2</v>
      </c>
      <c r="Q25" s="10">
        <v>1.1838161838161838</v>
      </c>
      <c r="R25" s="6">
        <v>48.877551020408163</v>
      </c>
      <c r="S25" s="9">
        <v>1.8549025203325853E-2</v>
      </c>
      <c r="T25" s="7" t="s">
        <v>28</v>
      </c>
      <c r="U25" t="s">
        <v>29</v>
      </c>
    </row>
    <row r="26" spans="1:21" x14ac:dyDescent="0.3">
      <c r="A26">
        <v>21</v>
      </c>
      <c r="B26" t="s">
        <v>56</v>
      </c>
      <c r="C26">
        <v>1412</v>
      </c>
      <c r="D26">
        <v>5</v>
      </c>
      <c r="E26">
        <v>8</v>
      </c>
      <c r="F26">
        <v>1</v>
      </c>
      <c r="G26">
        <v>47</v>
      </c>
      <c r="H26">
        <v>47</v>
      </c>
      <c r="I26">
        <v>47</v>
      </c>
      <c r="J26">
        <v>47</v>
      </c>
      <c r="K26" s="6">
        <v>6.122448979591832</v>
      </c>
      <c r="L26" s="7" t="s">
        <v>28</v>
      </c>
      <c r="M26">
        <v>47</v>
      </c>
      <c r="N26" s="8">
        <v>3.5410764872521247E-3</v>
      </c>
      <c r="O26" s="9">
        <v>5.6657223796033997E-3</v>
      </c>
      <c r="P26" s="9">
        <v>7.0821529745042496E-4</v>
      </c>
      <c r="Q26" s="10">
        <v>1.6643059490084984</v>
      </c>
      <c r="R26" s="6">
        <v>93.877551020408163</v>
      </c>
      <c r="S26" s="9">
        <v>2.6165058528567538E-3</v>
      </c>
      <c r="T26" s="7" t="s">
        <v>28</v>
      </c>
      <c r="U26" t="s">
        <v>29</v>
      </c>
    </row>
    <row r="27" spans="1:21" x14ac:dyDescent="0.3">
      <c r="A27">
        <v>22</v>
      </c>
      <c r="B27" t="s">
        <v>57</v>
      </c>
      <c r="C27">
        <v>644</v>
      </c>
      <c r="D27">
        <v>1</v>
      </c>
      <c r="E27">
        <v>1</v>
      </c>
      <c r="F27">
        <v>0</v>
      </c>
      <c r="G27">
        <v>48</v>
      </c>
      <c r="H27">
        <v>48</v>
      </c>
      <c r="I27">
        <v>48</v>
      </c>
      <c r="J27">
        <v>48</v>
      </c>
      <c r="K27" s="6">
        <v>4.081632653061229</v>
      </c>
      <c r="L27" s="7" t="s">
        <v>28</v>
      </c>
      <c r="M27">
        <v>48</v>
      </c>
      <c r="N27" s="8">
        <v>1.5527950310559005E-3</v>
      </c>
      <c r="O27" s="9">
        <v>1.5527950310559005E-3</v>
      </c>
      <c r="P27" s="9">
        <v>0</v>
      </c>
      <c r="Q27" s="10">
        <v>0.54347826086956519</v>
      </c>
      <c r="R27" s="6">
        <v>95.918367346938766</v>
      </c>
      <c r="S27" s="9">
        <v>1.1933638592349499E-3</v>
      </c>
      <c r="T27" s="7" t="s">
        <v>28</v>
      </c>
      <c r="U27" t="s">
        <v>29</v>
      </c>
    </row>
    <row r="28" spans="1:21" x14ac:dyDescent="0.3">
      <c r="A28">
        <v>23</v>
      </c>
      <c r="B28" t="s">
        <v>58</v>
      </c>
      <c r="C28">
        <v>14523</v>
      </c>
      <c r="D28">
        <v>49</v>
      </c>
      <c r="E28">
        <v>46</v>
      </c>
      <c r="F28">
        <v>538</v>
      </c>
      <c r="G28">
        <v>10</v>
      </c>
      <c r="H28">
        <v>13</v>
      </c>
      <c r="I28">
        <v>13</v>
      </c>
      <c r="J28">
        <v>11</v>
      </c>
      <c r="K28" s="6">
        <v>78.265306122448976</v>
      </c>
      <c r="L28" s="7" t="s">
        <v>32</v>
      </c>
      <c r="M28">
        <v>5</v>
      </c>
      <c r="N28" s="8">
        <v>3.3739585485092613E-3</v>
      </c>
      <c r="O28" s="9">
        <v>3.1673896577842043E-3</v>
      </c>
      <c r="P28" s="9">
        <v>3.7044687736693518E-2</v>
      </c>
      <c r="Q28" s="10">
        <v>1.13957171383323</v>
      </c>
      <c r="R28" s="6">
        <v>21.734693877551024</v>
      </c>
      <c r="S28" s="9">
        <v>2.6911837465324811E-2</v>
      </c>
      <c r="T28" s="7" t="s">
        <v>32</v>
      </c>
      <c r="U28" t="s">
        <v>35</v>
      </c>
    </row>
    <row r="29" spans="1:21" x14ac:dyDescent="0.3">
      <c r="A29">
        <v>24</v>
      </c>
      <c r="B29" t="s">
        <v>59</v>
      </c>
      <c r="C29">
        <v>16550</v>
      </c>
      <c r="D29">
        <v>24</v>
      </c>
      <c r="E29">
        <v>26</v>
      </c>
      <c r="F29">
        <v>217</v>
      </c>
      <c r="G29">
        <v>5</v>
      </c>
      <c r="H29">
        <v>31</v>
      </c>
      <c r="I29">
        <v>30</v>
      </c>
      <c r="J29">
        <v>37</v>
      </c>
      <c r="K29" s="6">
        <v>55.918367346938773</v>
      </c>
      <c r="L29" s="7" t="s">
        <v>39</v>
      </c>
      <c r="M29">
        <v>21</v>
      </c>
      <c r="N29" s="8">
        <v>1.4501510574018127E-3</v>
      </c>
      <c r="O29" s="9">
        <v>1.5709969788519637E-3</v>
      </c>
      <c r="P29" s="9">
        <v>1.3111782477341389E-2</v>
      </c>
      <c r="Q29" s="10">
        <v>0.53172205438066467</v>
      </c>
      <c r="R29" s="6">
        <v>44.081632653061227</v>
      </c>
      <c r="S29" s="9">
        <v>3.0667968742761526E-2</v>
      </c>
      <c r="T29" s="7" t="s">
        <v>32</v>
      </c>
      <c r="U29" t="s">
        <v>29</v>
      </c>
    </row>
    <row r="30" spans="1:21" x14ac:dyDescent="0.3">
      <c r="A30">
        <v>25</v>
      </c>
      <c r="B30" t="s">
        <v>60</v>
      </c>
      <c r="C30">
        <v>8935</v>
      </c>
      <c r="D30">
        <v>43</v>
      </c>
      <c r="E30">
        <v>42</v>
      </c>
      <c r="F30">
        <v>381</v>
      </c>
      <c r="G30">
        <v>31</v>
      </c>
      <c r="H30">
        <v>18</v>
      </c>
      <c r="I30">
        <v>16</v>
      </c>
      <c r="J30">
        <v>22</v>
      </c>
      <c r="K30" s="6">
        <v>55.612244897959179</v>
      </c>
      <c r="L30" s="7" t="s">
        <v>39</v>
      </c>
      <c r="M30">
        <v>22</v>
      </c>
      <c r="N30" s="8">
        <v>4.812534974818131E-3</v>
      </c>
      <c r="O30" s="9">
        <v>4.7006155567991042E-3</v>
      </c>
      <c r="P30" s="9">
        <v>4.2641298265249018E-2</v>
      </c>
      <c r="Q30" s="10">
        <v>1.6620033575825404</v>
      </c>
      <c r="R30" s="6">
        <v>44.387755102040821</v>
      </c>
      <c r="S30" s="9">
        <v>1.6556997022149501E-2</v>
      </c>
      <c r="T30" s="7" t="s">
        <v>28</v>
      </c>
      <c r="U30" t="s">
        <v>29</v>
      </c>
    </row>
    <row r="31" spans="1:21" x14ac:dyDescent="0.3">
      <c r="A31">
        <v>26</v>
      </c>
      <c r="B31" t="s">
        <v>61</v>
      </c>
      <c r="C31">
        <v>20366</v>
      </c>
      <c r="D31">
        <v>117</v>
      </c>
      <c r="E31">
        <v>51</v>
      </c>
      <c r="F31">
        <v>587</v>
      </c>
      <c r="G31">
        <v>3</v>
      </c>
      <c r="H31">
        <v>2</v>
      </c>
      <c r="I31">
        <v>10</v>
      </c>
      <c r="J31">
        <v>7</v>
      </c>
      <c r="K31" s="6">
        <v>92.448979591836732</v>
      </c>
      <c r="L31" s="7" t="s">
        <v>31</v>
      </c>
      <c r="M31">
        <v>2</v>
      </c>
      <c r="N31" s="8">
        <v>5.7448688991456349E-3</v>
      </c>
      <c r="O31" s="9">
        <v>2.5041736227045075E-3</v>
      </c>
      <c r="P31" s="9">
        <v>2.8822547382893058E-2</v>
      </c>
      <c r="Q31" s="10">
        <v>1.3625650594127467</v>
      </c>
      <c r="R31" s="6">
        <v>7.5510204081632679</v>
      </c>
      <c r="S31" s="9">
        <v>3.7739205523569866E-2</v>
      </c>
      <c r="T31" s="7" t="s">
        <v>32</v>
      </c>
      <c r="U31" t="s">
        <v>33</v>
      </c>
    </row>
    <row r="32" spans="1:21" x14ac:dyDescent="0.3">
      <c r="A32">
        <v>27</v>
      </c>
      <c r="B32" t="s">
        <v>62</v>
      </c>
      <c r="C32">
        <v>11745</v>
      </c>
      <c r="D32">
        <v>45</v>
      </c>
      <c r="E32">
        <v>46</v>
      </c>
      <c r="F32">
        <v>322</v>
      </c>
      <c r="G32">
        <v>18</v>
      </c>
      <c r="H32">
        <v>15</v>
      </c>
      <c r="I32">
        <v>13</v>
      </c>
      <c r="J32">
        <v>26</v>
      </c>
      <c r="K32" s="6">
        <v>66.734693877551024</v>
      </c>
      <c r="L32" s="7" t="s">
        <v>32</v>
      </c>
      <c r="M32">
        <v>18</v>
      </c>
      <c r="N32" s="8">
        <v>3.8314176245210726E-3</v>
      </c>
      <c r="O32" s="9">
        <v>3.9165602383993189E-3</v>
      </c>
      <c r="P32" s="9">
        <v>2.741592166879523E-2</v>
      </c>
      <c r="Q32" s="10">
        <v>1.3580246913580247</v>
      </c>
      <c r="R32" s="6">
        <v>33.265306122448976</v>
      </c>
      <c r="S32" s="9">
        <v>2.1764066035270944E-2</v>
      </c>
      <c r="T32" s="7" t="s">
        <v>41</v>
      </c>
      <c r="U32" t="s">
        <v>29</v>
      </c>
    </row>
    <row r="33" spans="1:21" x14ac:dyDescent="0.3">
      <c r="A33">
        <v>28</v>
      </c>
      <c r="B33" t="s">
        <v>63</v>
      </c>
      <c r="C33">
        <v>10878</v>
      </c>
      <c r="D33">
        <v>95</v>
      </c>
      <c r="E33">
        <v>47</v>
      </c>
      <c r="F33">
        <v>299</v>
      </c>
      <c r="G33">
        <v>22</v>
      </c>
      <c r="H33">
        <v>4</v>
      </c>
      <c r="I33">
        <v>12</v>
      </c>
      <c r="J33">
        <v>28</v>
      </c>
      <c r="K33" s="6">
        <v>70.408163265306129</v>
      </c>
      <c r="L33" s="7" t="s">
        <v>32</v>
      </c>
      <c r="M33">
        <v>13</v>
      </c>
      <c r="N33" s="8">
        <v>8.7332230189373049E-3</v>
      </c>
      <c r="O33" s="9">
        <v>4.3206471777900348E-3</v>
      </c>
      <c r="P33" s="9">
        <v>2.7486670343813201E-2</v>
      </c>
      <c r="Q33" s="10">
        <v>2.1741128883986027</v>
      </c>
      <c r="R33" s="6">
        <v>29.591836734693871</v>
      </c>
      <c r="S33" s="9">
        <v>2.0157472144033829E-2</v>
      </c>
      <c r="T33" s="7" t="s">
        <v>41</v>
      </c>
      <c r="U33" t="s">
        <v>29</v>
      </c>
    </row>
    <row r="34" spans="1:21" x14ac:dyDescent="0.3">
      <c r="A34">
        <v>29</v>
      </c>
      <c r="B34" t="s">
        <v>64</v>
      </c>
      <c r="C34">
        <v>6419</v>
      </c>
      <c r="D34">
        <v>21</v>
      </c>
      <c r="E34">
        <v>17</v>
      </c>
      <c r="F34">
        <v>95</v>
      </c>
      <c r="G34">
        <v>42</v>
      </c>
      <c r="H34">
        <v>33</v>
      </c>
      <c r="I34">
        <v>41</v>
      </c>
      <c r="J34">
        <v>45</v>
      </c>
      <c r="K34" s="6">
        <v>21.326530612244898</v>
      </c>
      <c r="L34" s="7" t="s">
        <v>28</v>
      </c>
      <c r="M34">
        <v>44</v>
      </c>
      <c r="N34" s="8">
        <v>3.2715376226826608E-3</v>
      </c>
      <c r="O34" s="9">
        <v>2.6483875993145349E-3</v>
      </c>
      <c r="P34" s="9">
        <v>1.479981305499299E-2</v>
      </c>
      <c r="Q34" s="10">
        <v>1.0204081632653061</v>
      </c>
      <c r="R34" s="6">
        <v>78.673469387755105</v>
      </c>
      <c r="S34" s="9">
        <v>1.1894724553461404E-2</v>
      </c>
      <c r="T34" s="7" t="s">
        <v>28</v>
      </c>
      <c r="U34" t="s">
        <v>29</v>
      </c>
    </row>
    <row r="35" spans="1:21" x14ac:dyDescent="0.3">
      <c r="A35">
        <v>30</v>
      </c>
      <c r="B35" t="s">
        <v>65</v>
      </c>
      <c r="C35">
        <v>12017</v>
      </c>
      <c r="D35">
        <v>29</v>
      </c>
      <c r="E35">
        <v>30</v>
      </c>
      <c r="F35">
        <v>286</v>
      </c>
      <c r="G35">
        <v>17</v>
      </c>
      <c r="H35">
        <v>28</v>
      </c>
      <c r="I35">
        <v>28</v>
      </c>
      <c r="J35">
        <v>31</v>
      </c>
      <c r="K35" s="6">
        <v>51.83673469387756</v>
      </c>
      <c r="L35" s="7" t="s">
        <v>39</v>
      </c>
      <c r="M35">
        <v>27</v>
      </c>
      <c r="N35" s="8">
        <v>2.4132478988100193E-3</v>
      </c>
      <c r="O35" s="9">
        <v>2.4964633435965713E-3</v>
      </c>
      <c r="P35" s="9">
        <v>2.3799617208953981E-2</v>
      </c>
      <c r="Q35" s="10">
        <v>0.86127985354081726</v>
      </c>
      <c r="R35" s="6">
        <v>48.16326530612244</v>
      </c>
      <c r="S35" s="9">
        <v>2.2268095491345334E-2</v>
      </c>
      <c r="T35" s="7" t="s">
        <v>41</v>
      </c>
      <c r="U35" t="s">
        <v>44</v>
      </c>
    </row>
    <row r="36" spans="1:21" x14ac:dyDescent="0.3">
      <c r="A36">
        <v>31</v>
      </c>
      <c r="B36" t="s">
        <v>66</v>
      </c>
      <c r="C36">
        <v>15705</v>
      </c>
      <c r="D36">
        <v>38</v>
      </c>
      <c r="E36">
        <v>35</v>
      </c>
      <c r="F36">
        <v>648</v>
      </c>
      <c r="G36">
        <v>7</v>
      </c>
      <c r="H36">
        <v>21</v>
      </c>
      <c r="I36">
        <v>22</v>
      </c>
      <c r="J36">
        <v>6</v>
      </c>
      <c r="K36" s="6">
        <v>73.367346938775512</v>
      </c>
      <c r="L36" s="7" t="s">
        <v>32</v>
      </c>
      <c r="M36">
        <v>11</v>
      </c>
      <c r="N36" s="8">
        <v>2.4196115886660299E-3</v>
      </c>
      <c r="O36" s="9">
        <v>2.2285896211397642E-3</v>
      </c>
      <c r="P36" s="9">
        <v>4.126074498567335E-2</v>
      </c>
      <c r="Q36" s="10">
        <v>0.80865966252785737</v>
      </c>
      <c r="R36" s="6">
        <v>26.632653061224488</v>
      </c>
      <c r="S36" s="9">
        <v>2.9102141939883371E-2</v>
      </c>
      <c r="T36" s="7" t="s">
        <v>32</v>
      </c>
      <c r="U36" t="s">
        <v>35</v>
      </c>
    </row>
    <row r="37" spans="1:21" x14ac:dyDescent="0.3">
      <c r="A37">
        <v>32</v>
      </c>
      <c r="B37" t="s">
        <v>67</v>
      </c>
      <c r="C37">
        <v>13536</v>
      </c>
      <c r="D37">
        <v>45</v>
      </c>
      <c r="E37">
        <v>18</v>
      </c>
      <c r="F37">
        <v>220</v>
      </c>
      <c r="G37">
        <v>13</v>
      </c>
      <c r="H37">
        <v>15</v>
      </c>
      <c r="I37">
        <v>39</v>
      </c>
      <c r="J37">
        <v>36</v>
      </c>
      <c r="K37" s="6">
        <v>56.632653061224495</v>
      </c>
      <c r="L37" s="7" t="s">
        <v>39</v>
      </c>
      <c r="M37">
        <v>20</v>
      </c>
      <c r="N37" s="8">
        <v>3.324468085106383E-3</v>
      </c>
      <c r="O37" s="9">
        <v>1.3297872340425532E-3</v>
      </c>
      <c r="P37" s="9">
        <v>1.6252955082742316E-2</v>
      </c>
      <c r="Q37" s="10">
        <v>0.7646276595744681</v>
      </c>
      <c r="R37" s="6">
        <v>43.367346938775505</v>
      </c>
      <c r="S37" s="9">
        <v>2.5082877637584291E-2</v>
      </c>
      <c r="T37" s="7" t="s">
        <v>32</v>
      </c>
      <c r="U37" t="s">
        <v>29</v>
      </c>
    </row>
    <row r="38" spans="1:21" x14ac:dyDescent="0.3">
      <c r="A38">
        <v>33</v>
      </c>
      <c r="B38" t="s">
        <v>68</v>
      </c>
      <c r="C38">
        <v>10622</v>
      </c>
      <c r="D38">
        <v>76</v>
      </c>
      <c r="E38">
        <v>74</v>
      </c>
      <c r="F38">
        <v>460</v>
      </c>
      <c r="G38">
        <v>25</v>
      </c>
      <c r="H38">
        <v>6</v>
      </c>
      <c r="I38">
        <v>2</v>
      </c>
      <c r="J38">
        <v>17</v>
      </c>
      <c r="K38" s="6">
        <v>74.489795918367349</v>
      </c>
      <c r="L38" s="7" t="s">
        <v>32</v>
      </c>
      <c r="M38">
        <v>10</v>
      </c>
      <c r="N38" s="8">
        <v>7.1549614008661272E-3</v>
      </c>
      <c r="O38" s="9">
        <v>6.966672942948597E-3</v>
      </c>
      <c r="P38" s="9">
        <v>4.3306345321031822E-2</v>
      </c>
      <c r="Q38" s="10">
        <v>2.4665787987196386</v>
      </c>
      <c r="R38" s="6">
        <v>25.510204081632651</v>
      </c>
      <c r="S38" s="9">
        <v>1.968309147949323E-2</v>
      </c>
      <c r="T38" s="7" t="s">
        <v>41</v>
      </c>
      <c r="U38" t="s">
        <v>29</v>
      </c>
    </row>
    <row r="39" spans="1:21" x14ac:dyDescent="0.3">
      <c r="A39">
        <v>34</v>
      </c>
      <c r="B39" t="s">
        <v>69</v>
      </c>
      <c r="C39">
        <v>10512</v>
      </c>
      <c r="D39">
        <v>15</v>
      </c>
      <c r="E39">
        <v>31</v>
      </c>
      <c r="F39">
        <v>710</v>
      </c>
      <c r="G39">
        <v>26</v>
      </c>
      <c r="H39">
        <v>38</v>
      </c>
      <c r="I39">
        <v>25</v>
      </c>
      <c r="J39">
        <v>3</v>
      </c>
      <c r="K39" s="6">
        <v>49.08163265306122</v>
      </c>
      <c r="L39" s="7" t="s">
        <v>39</v>
      </c>
      <c r="M39">
        <v>30</v>
      </c>
      <c r="N39" s="8">
        <v>1.4269406392694063E-3</v>
      </c>
      <c r="O39" s="9">
        <v>2.9490106544901064E-3</v>
      </c>
      <c r="P39" s="9">
        <v>6.7541856925418572E-2</v>
      </c>
      <c r="Q39" s="10">
        <v>0.80384322678843223</v>
      </c>
      <c r="R39" s="6">
        <v>50.91836734693878</v>
      </c>
      <c r="S39" s="9">
        <v>1.9479256037698438E-2</v>
      </c>
      <c r="T39" s="7" t="s">
        <v>28</v>
      </c>
      <c r="U39" t="s">
        <v>29</v>
      </c>
    </row>
    <row r="40" spans="1:21" x14ac:dyDescent="0.3">
      <c r="A40">
        <v>35</v>
      </c>
      <c r="B40" t="s">
        <v>70</v>
      </c>
      <c r="C40">
        <v>8048</v>
      </c>
      <c r="D40">
        <v>9</v>
      </c>
      <c r="E40">
        <v>24</v>
      </c>
      <c r="F40">
        <v>155</v>
      </c>
      <c r="G40">
        <v>35</v>
      </c>
      <c r="H40">
        <v>44</v>
      </c>
      <c r="I40">
        <v>31</v>
      </c>
      <c r="J40">
        <v>42</v>
      </c>
      <c r="K40" s="6">
        <v>24.591836734693878</v>
      </c>
      <c r="L40" s="7" t="s">
        <v>28</v>
      </c>
      <c r="M40">
        <v>39</v>
      </c>
      <c r="N40" s="8">
        <v>1.1182902584493041E-3</v>
      </c>
      <c r="O40" s="9">
        <v>2.982107355864811E-3</v>
      </c>
      <c r="P40" s="9">
        <v>1.9259443339960238E-2</v>
      </c>
      <c r="Q40" s="10">
        <v>0.76416500994035785</v>
      </c>
      <c r="R40" s="6">
        <v>75.408163265306115</v>
      </c>
      <c r="S40" s="9">
        <v>1.4913342141495152E-2</v>
      </c>
      <c r="T40" s="7" t="s">
        <v>28</v>
      </c>
      <c r="U40" t="s">
        <v>29</v>
      </c>
    </row>
    <row r="41" spans="1:21" x14ac:dyDescent="0.3">
      <c r="A41">
        <v>36</v>
      </c>
      <c r="B41" t="s">
        <v>71</v>
      </c>
      <c r="C41">
        <v>10861</v>
      </c>
      <c r="D41">
        <v>64</v>
      </c>
      <c r="E41">
        <v>45</v>
      </c>
      <c r="F41">
        <v>528</v>
      </c>
      <c r="G41">
        <v>23</v>
      </c>
      <c r="H41">
        <v>10</v>
      </c>
      <c r="I41">
        <v>15</v>
      </c>
      <c r="J41">
        <v>12</v>
      </c>
      <c r="K41" s="6">
        <v>69.693877551020407</v>
      </c>
      <c r="L41" s="7" t="s">
        <v>32</v>
      </c>
      <c r="M41">
        <v>16</v>
      </c>
      <c r="N41" s="8">
        <v>5.8926434030015656E-3</v>
      </c>
      <c r="O41" s="9">
        <v>4.1432648927354756E-3</v>
      </c>
      <c r="P41" s="9">
        <v>4.8614308074762913E-2</v>
      </c>
      <c r="Q41" s="10">
        <v>1.7125494889973298</v>
      </c>
      <c r="R41" s="6">
        <v>30.306122448979593</v>
      </c>
      <c r="S41" s="9">
        <v>2.0125970303029182E-2</v>
      </c>
      <c r="T41" s="7" t="s">
        <v>41</v>
      </c>
      <c r="U41" t="s">
        <v>29</v>
      </c>
    </row>
    <row r="42" spans="1:21" x14ac:dyDescent="0.3">
      <c r="A42">
        <v>37</v>
      </c>
      <c r="B42" t="s">
        <v>72</v>
      </c>
      <c r="C42">
        <v>14820</v>
      </c>
      <c r="D42">
        <v>17</v>
      </c>
      <c r="E42">
        <v>19</v>
      </c>
      <c r="F42">
        <v>158</v>
      </c>
      <c r="G42">
        <v>9</v>
      </c>
      <c r="H42">
        <v>37</v>
      </c>
      <c r="I42">
        <v>37</v>
      </c>
      <c r="J42">
        <v>41</v>
      </c>
      <c r="K42" s="6">
        <v>45.306122448979593</v>
      </c>
      <c r="L42" s="7" t="s">
        <v>39</v>
      </c>
      <c r="M42">
        <v>31</v>
      </c>
      <c r="N42" s="8">
        <v>1.147098515519568E-3</v>
      </c>
      <c r="O42" s="9">
        <v>1.2820512820512821E-3</v>
      </c>
      <c r="P42" s="9">
        <v>1.0661268556005398E-2</v>
      </c>
      <c r="Q42" s="10">
        <v>0.42847503373819162</v>
      </c>
      <c r="R42" s="6">
        <v>54.693877551020407</v>
      </c>
      <c r="S42" s="9">
        <v>2.7462193158170743E-2</v>
      </c>
      <c r="T42" s="7" t="s">
        <v>32</v>
      </c>
      <c r="U42" t="s">
        <v>29</v>
      </c>
    </row>
    <row r="43" spans="1:21" x14ac:dyDescent="0.3">
      <c r="A43">
        <v>38</v>
      </c>
      <c r="B43" t="s">
        <v>73</v>
      </c>
      <c r="C43">
        <v>10147</v>
      </c>
      <c r="D43">
        <v>19</v>
      </c>
      <c r="E43">
        <v>24</v>
      </c>
      <c r="F43">
        <v>312</v>
      </c>
      <c r="G43">
        <v>28</v>
      </c>
      <c r="H43">
        <v>35</v>
      </c>
      <c r="I43">
        <v>31</v>
      </c>
      <c r="J43">
        <v>27</v>
      </c>
      <c r="K43" s="6">
        <v>39.693877551020407</v>
      </c>
      <c r="L43" s="7" t="s">
        <v>28</v>
      </c>
      <c r="M43">
        <v>34</v>
      </c>
      <c r="N43" s="8">
        <v>1.8724746230412931E-3</v>
      </c>
      <c r="O43" s="9">
        <v>2.3652311027890015E-3</v>
      </c>
      <c r="P43" s="9">
        <v>3.0748004336257021E-2</v>
      </c>
      <c r="Q43" s="10">
        <v>0.75391741401399426</v>
      </c>
      <c r="R43" s="6">
        <v>60.306122448979593</v>
      </c>
      <c r="S43" s="9">
        <v>1.8802892980833909E-2</v>
      </c>
      <c r="T43" s="7" t="s">
        <v>28</v>
      </c>
      <c r="U43" t="s">
        <v>29</v>
      </c>
    </row>
    <row r="44" spans="1:21" x14ac:dyDescent="0.3">
      <c r="A44">
        <v>39</v>
      </c>
      <c r="B44" t="s">
        <v>74</v>
      </c>
      <c r="C44">
        <v>23152</v>
      </c>
      <c r="D44">
        <v>42</v>
      </c>
      <c r="E44">
        <v>35</v>
      </c>
      <c r="F44">
        <v>519</v>
      </c>
      <c r="G44">
        <v>2</v>
      </c>
      <c r="H44">
        <v>19</v>
      </c>
      <c r="I44">
        <v>22</v>
      </c>
      <c r="J44">
        <v>13</v>
      </c>
      <c r="K44" s="6">
        <v>76.020408163265301</v>
      </c>
      <c r="L44" s="7" t="s">
        <v>32</v>
      </c>
      <c r="M44">
        <v>7</v>
      </c>
      <c r="N44" s="8">
        <v>1.8140981340704907E-3</v>
      </c>
      <c r="O44" s="9">
        <v>1.5117484450587423E-3</v>
      </c>
      <c r="P44" s="9">
        <v>2.2417069799585351E-2</v>
      </c>
      <c r="Q44" s="10">
        <v>0.574464409122322</v>
      </c>
      <c r="R44" s="6">
        <v>23.979591836734699</v>
      </c>
      <c r="S44" s="9">
        <v>4.2901801349390624E-2</v>
      </c>
      <c r="T44" s="7" t="s">
        <v>32</v>
      </c>
      <c r="U44" t="s">
        <v>35</v>
      </c>
    </row>
    <row r="45" spans="1:21" x14ac:dyDescent="0.3">
      <c r="A45">
        <v>40</v>
      </c>
      <c r="B45" t="s">
        <v>75</v>
      </c>
      <c r="C45">
        <v>12586</v>
      </c>
      <c r="D45">
        <v>47</v>
      </c>
      <c r="E45">
        <v>61</v>
      </c>
      <c r="F45">
        <v>463</v>
      </c>
      <c r="G45">
        <v>15</v>
      </c>
      <c r="H45">
        <v>14</v>
      </c>
      <c r="I45">
        <v>5</v>
      </c>
      <c r="J45">
        <v>16</v>
      </c>
      <c r="K45" s="6">
        <v>75.81632653061223</v>
      </c>
      <c r="L45" s="7" t="s">
        <v>32</v>
      </c>
      <c r="M45">
        <v>8</v>
      </c>
      <c r="N45" s="8">
        <v>3.7343079612267597E-3</v>
      </c>
      <c r="O45" s="9">
        <v>4.8466550135070714E-3</v>
      </c>
      <c r="P45" s="9">
        <v>3.6786906086127447E-2</v>
      </c>
      <c r="Q45" s="10">
        <v>1.5294771968854282</v>
      </c>
      <c r="R45" s="6">
        <v>24.18367346938777</v>
      </c>
      <c r="S45" s="9">
        <v>2.3322480640265653E-2</v>
      </c>
      <c r="T45" s="7" t="s">
        <v>41</v>
      </c>
      <c r="U45" t="s">
        <v>29</v>
      </c>
    </row>
    <row r="46" spans="1:21" x14ac:dyDescent="0.3">
      <c r="A46">
        <v>41</v>
      </c>
      <c r="B46" t="s">
        <v>76</v>
      </c>
      <c r="C46">
        <v>1</v>
      </c>
      <c r="D46">
        <v>0</v>
      </c>
      <c r="E46">
        <v>0</v>
      </c>
      <c r="F46">
        <v>0</v>
      </c>
      <c r="G46">
        <v>50</v>
      </c>
      <c r="H46">
        <v>49</v>
      </c>
      <c r="I46">
        <v>49</v>
      </c>
      <c r="J46">
        <v>48</v>
      </c>
      <c r="K46" s="6">
        <v>1.6326530612244916</v>
      </c>
      <c r="L46" s="7" t="s">
        <v>28</v>
      </c>
      <c r="M46">
        <v>50</v>
      </c>
      <c r="N46" s="8">
        <v>0</v>
      </c>
      <c r="O46" s="9">
        <v>0</v>
      </c>
      <c r="P46" s="9">
        <v>0</v>
      </c>
      <c r="Q46" s="10">
        <v>0</v>
      </c>
      <c r="R46" s="6">
        <v>98.367346938775512</v>
      </c>
      <c r="S46" s="9">
        <v>1.8530494708617236E-6</v>
      </c>
      <c r="T46" s="7" t="s">
        <v>28</v>
      </c>
      <c r="U46" t="s">
        <v>29</v>
      </c>
    </row>
    <row r="47" spans="1:21" x14ac:dyDescent="0.3">
      <c r="A47">
        <v>42</v>
      </c>
      <c r="B47" t="s">
        <v>77</v>
      </c>
      <c r="C47">
        <v>381</v>
      </c>
      <c r="D47">
        <v>0</v>
      </c>
      <c r="E47">
        <v>0</v>
      </c>
      <c r="F47">
        <v>0</v>
      </c>
      <c r="G47">
        <v>49</v>
      </c>
      <c r="H47">
        <v>49</v>
      </c>
      <c r="I47">
        <v>49</v>
      </c>
      <c r="J47">
        <v>48</v>
      </c>
      <c r="K47" s="6">
        <v>2.3469387755102069</v>
      </c>
      <c r="L47" s="7" t="s">
        <v>28</v>
      </c>
      <c r="M47">
        <v>49</v>
      </c>
      <c r="N47" s="8">
        <v>0</v>
      </c>
      <c r="O47" s="9">
        <v>0</v>
      </c>
      <c r="P47" s="9">
        <v>0</v>
      </c>
      <c r="Q47" s="10">
        <v>0</v>
      </c>
      <c r="R47" s="6">
        <v>97.65306122448979</v>
      </c>
      <c r="S47" s="9">
        <v>7.0601184839831665E-4</v>
      </c>
      <c r="T47" s="7" t="s">
        <v>28</v>
      </c>
      <c r="U47" t="s">
        <v>29</v>
      </c>
    </row>
    <row r="48" spans="1:21" x14ac:dyDescent="0.3">
      <c r="A48">
        <v>43</v>
      </c>
      <c r="B48" t="s">
        <v>78</v>
      </c>
      <c r="C48">
        <v>11108</v>
      </c>
      <c r="D48">
        <v>20</v>
      </c>
      <c r="E48">
        <v>31</v>
      </c>
      <c r="F48">
        <v>392</v>
      </c>
      <c r="G48">
        <v>20</v>
      </c>
      <c r="H48">
        <v>34</v>
      </c>
      <c r="I48">
        <v>25</v>
      </c>
      <c r="J48">
        <v>21</v>
      </c>
      <c r="K48" s="6">
        <v>50.306122448979593</v>
      </c>
      <c r="L48" s="7" t="s">
        <v>39</v>
      </c>
      <c r="M48">
        <v>29</v>
      </c>
      <c r="N48" s="8">
        <v>1.8005041411595247E-3</v>
      </c>
      <c r="O48" s="9">
        <v>2.7907814187972634E-3</v>
      </c>
      <c r="P48" s="9">
        <v>3.5289881166726683E-2</v>
      </c>
      <c r="Q48" s="10">
        <v>0.82823190493338128</v>
      </c>
      <c r="R48" s="6">
        <v>49.693877551020407</v>
      </c>
      <c r="S48" s="9">
        <v>2.0583673522332025E-2</v>
      </c>
      <c r="T48" s="7" t="s">
        <v>41</v>
      </c>
      <c r="U48" t="s">
        <v>44</v>
      </c>
    </row>
    <row r="49" spans="1:21" x14ac:dyDescent="0.3">
      <c r="A49">
        <v>44</v>
      </c>
      <c r="B49" t="s">
        <v>79</v>
      </c>
      <c r="C49">
        <v>11047</v>
      </c>
      <c r="D49">
        <v>114</v>
      </c>
      <c r="E49">
        <v>23</v>
      </c>
      <c r="F49">
        <v>286</v>
      </c>
      <c r="G49">
        <v>21</v>
      </c>
      <c r="H49">
        <v>3</v>
      </c>
      <c r="I49">
        <v>33</v>
      </c>
      <c r="J49">
        <v>31</v>
      </c>
      <c r="K49" s="6">
        <v>62.244897959183675</v>
      </c>
      <c r="L49" s="7" t="s">
        <v>32</v>
      </c>
      <c r="M49">
        <v>19</v>
      </c>
      <c r="N49" s="8">
        <v>1.0319543767538698E-2</v>
      </c>
      <c r="O49" s="9">
        <v>2.0820132162578074E-3</v>
      </c>
      <c r="P49" s="9">
        <v>2.5889381732597087E-2</v>
      </c>
      <c r="Q49" s="10">
        <v>1.9643342083823661</v>
      </c>
      <c r="R49" s="6">
        <v>37.755102040816325</v>
      </c>
      <c r="S49" s="9">
        <v>2.0470637504609462E-2</v>
      </c>
      <c r="T49" s="7" t="s">
        <v>41</v>
      </c>
      <c r="U49" t="s">
        <v>29</v>
      </c>
    </row>
    <row r="50" spans="1:21" x14ac:dyDescent="0.3">
      <c r="A50">
        <v>45</v>
      </c>
      <c r="B50" t="s">
        <v>80</v>
      </c>
      <c r="C50">
        <v>7615</v>
      </c>
      <c r="D50">
        <v>12</v>
      </c>
      <c r="E50">
        <v>22</v>
      </c>
      <c r="F50">
        <v>263</v>
      </c>
      <c r="G50">
        <v>40</v>
      </c>
      <c r="H50">
        <v>43</v>
      </c>
      <c r="I50">
        <v>35</v>
      </c>
      <c r="J50">
        <v>33</v>
      </c>
      <c r="K50" s="6">
        <v>22.755102040816329</v>
      </c>
      <c r="L50" s="7" t="s">
        <v>28</v>
      </c>
      <c r="M50">
        <v>43</v>
      </c>
      <c r="N50" s="8">
        <v>1.5758371634931056E-3</v>
      </c>
      <c r="O50" s="9">
        <v>2.8890347997373605E-3</v>
      </c>
      <c r="P50" s="9">
        <v>3.4537097833223902E-2</v>
      </c>
      <c r="Q50" s="10">
        <v>0.81418253447143785</v>
      </c>
      <c r="R50" s="6">
        <v>77.244897959183675</v>
      </c>
      <c r="S50" s="9">
        <v>1.4110971720612025E-2</v>
      </c>
      <c r="T50" s="7" t="s">
        <v>28</v>
      </c>
      <c r="U50" t="s">
        <v>29</v>
      </c>
    </row>
    <row r="51" spans="1:21" x14ac:dyDescent="0.3">
      <c r="A51">
        <v>46</v>
      </c>
      <c r="B51" t="s">
        <v>81</v>
      </c>
      <c r="C51">
        <v>7928</v>
      </c>
      <c r="D51">
        <v>14</v>
      </c>
      <c r="E51">
        <v>19</v>
      </c>
      <c r="F51">
        <v>198</v>
      </c>
      <c r="G51">
        <v>36</v>
      </c>
      <c r="H51">
        <v>41</v>
      </c>
      <c r="I51">
        <v>37</v>
      </c>
      <c r="J51">
        <v>38</v>
      </c>
      <c r="K51" s="6">
        <v>24.489795918367346</v>
      </c>
      <c r="L51" s="7" t="s">
        <v>28</v>
      </c>
      <c r="M51">
        <v>40</v>
      </c>
      <c r="N51" s="8">
        <v>1.7658930373360242E-3</v>
      </c>
      <c r="O51" s="9">
        <v>2.3965691220988899E-3</v>
      </c>
      <c r="P51" s="9">
        <v>2.4974772956609485E-2</v>
      </c>
      <c r="Q51" s="10">
        <v>0.74419778002018155</v>
      </c>
      <c r="R51" s="6">
        <v>75.510204081632651</v>
      </c>
      <c r="S51" s="9">
        <v>1.4690976204991745E-2</v>
      </c>
      <c r="T51" s="7" t="s">
        <v>28</v>
      </c>
      <c r="U51" t="s">
        <v>29</v>
      </c>
    </row>
    <row r="52" spans="1:21" x14ac:dyDescent="0.3">
      <c r="A52">
        <v>47</v>
      </c>
      <c r="B52" t="s">
        <v>82</v>
      </c>
      <c r="C52">
        <v>7778</v>
      </c>
      <c r="D52">
        <v>74</v>
      </c>
      <c r="E52">
        <v>39</v>
      </c>
      <c r="F52">
        <v>232</v>
      </c>
      <c r="G52">
        <v>38</v>
      </c>
      <c r="H52">
        <v>7</v>
      </c>
      <c r="I52">
        <v>17</v>
      </c>
      <c r="J52">
        <v>35</v>
      </c>
      <c r="K52" s="6">
        <v>52.95918367346939</v>
      </c>
      <c r="L52" s="7" t="s">
        <v>39</v>
      </c>
      <c r="M52">
        <v>25</v>
      </c>
      <c r="N52" s="8">
        <v>9.5140138853175623E-3</v>
      </c>
      <c r="O52" s="9">
        <v>5.0141424530727695E-3</v>
      </c>
      <c r="P52" s="9">
        <v>2.9827719208022629E-2</v>
      </c>
      <c r="Q52" s="10">
        <v>2.4299305734121881</v>
      </c>
      <c r="R52" s="6">
        <v>47.04081632653061</v>
      </c>
      <c r="S52" s="9">
        <v>1.4413018784362486E-2</v>
      </c>
      <c r="T52" s="7" t="s">
        <v>28</v>
      </c>
      <c r="U52" t="s">
        <v>29</v>
      </c>
    </row>
    <row r="53" spans="1:21" x14ac:dyDescent="0.3">
      <c r="A53">
        <v>48</v>
      </c>
      <c r="B53" t="s">
        <v>83</v>
      </c>
      <c r="C53">
        <v>7315</v>
      </c>
      <c r="D53">
        <v>71</v>
      </c>
      <c r="E53">
        <v>10</v>
      </c>
      <c r="F53">
        <v>146</v>
      </c>
      <c r="G53">
        <v>41</v>
      </c>
      <c r="H53">
        <v>8</v>
      </c>
      <c r="I53">
        <v>45</v>
      </c>
      <c r="J53">
        <v>43</v>
      </c>
      <c r="K53" s="6">
        <v>36.326530612244902</v>
      </c>
      <c r="L53" s="7" t="s">
        <v>28</v>
      </c>
      <c r="M53">
        <v>36</v>
      </c>
      <c r="N53" s="8">
        <v>9.706083390293916E-3</v>
      </c>
      <c r="O53" s="9">
        <v>1.3670539986329461E-3</v>
      </c>
      <c r="P53" s="9">
        <v>1.9958988380041013E-2</v>
      </c>
      <c r="Q53" s="10">
        <v>1.7293233082706767</v>
      </c>
      <c r="R53" s="6">
        <v>63.673469387755098</v>
      </c>
      <c r="S53" s="9">
        <v>1.3555056879353508E-2</v>
      </c>
      <c r="T53" s="7" t="s">
        <v>28</v>
      </c>
      <c r="U53" t="s">
        <v>29</v>
      </c>
    </row>
    <row r="54" spans="1:21" x14ac:dyDescent="0.3">
      <c r="A54">
        <v>49</v>
      </c>
      <c r="B54" t="s">
        <v>84</v>
      </c>
      <c r="C54">
        <v>15869</v>
      </c>
      <c r="D54">
        <v>24</v>
      </c>
      <c r="E54">
        <v>57</v>
      </c>
      <c r="F54">
        <v>420</v>
      </c>
      <c r="G54">
        <v>6</v>
      </c>
      <c r="H54">
        <v>31</v>
      </c>
      <c r="I54">
        <v>7</v>
      </c>
      <c r="J54">
        <v>19</v>
      </c>
      <c r="K54" s="6">
        <v>70.102040816326536</v>
      </c>
      <c r="L54" s="7" t="s">
        <v>32</v>
      </c>
      <c r="M54">
        <v>14</v>
      </c>
      <c r="N54" s="8">
        <v>1.5123826328060999E-3</v>
      </c>
      <c r="O54" s="9">
        <v>3.5919087529144873E-3</v>
      </c>
      <c r="P54" s="9">
        <v>2.646669607410675E-2</v>
      </c>
      <c r="Q54" s="10">
        <v>0.94523914550381249</v>
      </c>
      <c r="R54" s="6">
        <v>29.897959183673464</v>
      </c>
      <c r="S54" s="9">
        <v>2.9406042053104691E-2</v>
      </c>
      <c r="T54" s="7" t="s">
        <v>32</v>
      </c>
      <c r="U54" t="s">
        <v>35</v>
      </c>
    </row>
    <row r="55" spans="1:21" x14ac:dyDescent="0.3">
      <c r="A55">
        <v>50</v>
      </c>
      <c r="B55" t="s">
        <v>85</v>
      </c>
      <c r="C55">
        <v>12625</v>
      </c>
      <c r="D55">
        <v>38</v>
      </c>
      <c r="E55">
        <v>50</v>
      </c>
      <c r="F55">
        <v>489</v>
      </c>
      <c r="G55">
        <v>6</v>
      </c>
      <c r="H55">
        <v>31</v>
      </c>
      <c r="I55">
        <v>7</v>
      </c>
      <c r="J55">
        <v>19</v>
      </c>
      <c r="K55" s="6">
        <v>70.102040816326536</v>
      </c>
      <c r="L55" s="7" t="s">
        <v>32</v>
      </c>
      <c r="M55">
        <v>14</v>
      </c>
      <c r="N55" s="8">
        <v>1.5123826328060999E-3</v>
      </c>
      <c r="O55" s="9">
        <v>3.5919087529144873E-3</v>
      </c>
      <c r="P55" s="9">
        <v>2.646669607410675E-2</v>
      </c>
      <c r="Q55" s="10">
        <v>0.94523914550381249</v>
      </c>
      <c r="R55" s="6">
        <v>29.897959183673464</v>
      </c>
      <c r="S55" s="9">
        <v>2.9406042053104691E-2</v>
      </c>
      <c r="T55" s="7" t="s">
        <v>32</v>
      </c>
      <c r="U55" t="s">
        <v>35</v>
      </c>
    </row>
    <row r="57" spans="1:21" x14ac:dyDescent="0.3">
      <c r="L57"/>
    </row>
    <row r="106" spans="1:21" ht="18" x14ac:dyDescent="0.3">
      <c r="A106" t="s">
        <v>6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  <c r="G106" s="2" t="s">
        <v>12</v>
      </c>
      <c r="H106" s="2" t="s">
        <v>13</v>
      </c>
      <c r="I106" s="2" t="s">
        <v>14</v>
      </c>
      <c r="J106" s="2" t="s">
        <v>15</v>
      </c>
      <c r="K106" s="3" t="s">
        <v>16</v>
      </c>
      <c r="L106" s="4" t="s">
        <v>86</v>
      </c>
      <c r="M106" s="3" t="s">
        <v>18</v>
      </c>
      <c r="N106" s="5" t="s">
        <v>19</v>
      </c>
      <c r="O106" s="5" t="s">
        <v>20</v>
      </c>
      <c r="P106" s="5" t="s">
        <v>21</v>
      </c>
      <c r="Q106" s="5" t="s">
        <v>22</v>
      </c>
      <c r="R106" s="5" t="s">
        <v>23</v>
      </c>
      <c r="S106" s="5" t="s">
        <v>24</v>
      </c>
      <c r="T106" s="5" t="s">
        <v>25</v>
      </c>
      <c r="U106" s="5" t="s">
        <v>26</v>
      </c>
    </row>
    <row r="107" spans="1:21" x14ac:dyDescent="0.3">
      <c r="A107">
        <v>1</v>
      </c>
      <c r="B107" t="s">
        <v>27</v>
      </c>
      <c r="C107">
        <v>4375</v>
      </c>
      <c r="D107">
        <v>15</v>
      </c>
      <c r="E107">
        <v>16</v>
      </c>
      <c r="F107">
        <v>183</v>
      </c>
      <c r="G107">
        <v>45</v>
      </c>
      <c r="H107">
        <v>38</v>
      </c>
      <c r="I107">
        <v>42</v>
      </c>
      <c r="J107">
        <v>39</v>
      </c>
      <c r="K107" s="6">
        <v>17.551020408163268</v>
      </c>
      <c r="L107" s="7" t="s">
        <v>28</v>
      </c>
      <c r="M107">
        <v>45</v>
      </c>
      <c r="N107" s="8">
        <v>3.4285714285714284E-3</v>
      </c>
      <c r="O107" s="9">
        <v>3.6571428571428571E-3</v>
      </c>
      <c r="P107" s="9">
        <v>4.182857142857143E-2</v>
      </c>
      <c r="Q107" s="10">
        <v>1.2457142857142858</v>
      </c>
      <c r="R107" s="6">
        <v>82.448979591836732</v>
      </c>
      <c r="S107" s="9">
        <v>8.1070914350200411E-3</v>
      </c>
      <c r="T107" s="7" t="s">
        <v>28</v>
      </c>
      <c r="U107" t="s">
        <v>29</v>
      </c>
    </row>
    <row r="108" spans="1:21" x14ac:dyDescent="0.3">
      <c r="A108">
        <v>2</v>
      </c>
      <c r="B108" t="s">
        <v>30</v>
      </c>
      <c r="C108">
        <v>36502</v>
      </c>
      <c r="D108">
        <v>181</v>
      </c>
      <c r="E108">
        <v>105</v>
      </c>
      <c r="F108">
        <v>499</v>
      </c>
      <c r="G108">
        <v>1</v>
      </c>
      <c r="H108">
        <v>1</v>
      </c>
      <c r="I108">
        <v>1</v>
      </c>
      <c r="J108">
        <v>14</v>
      </c>
      <c r="K108" s="6">
        <v>96.020408163265301</v>
      </c>
      <c r="L108" s="7" t="s">
        <v>31</v>
      </c>
      <c r="M108">
        <v>1</v>
      </c>
      <c r="N108" s="8">
        <v>4.9586324037039064E-3</v>
      </c>
      <c r="O108" s="9">
        <v>2.8765547093309958E-3</v>
      </c>
      <c r="P108" s="9">
        <v>1.367048380910635E-2</v>
      </c>
      <c r="Q108" s="10">
        <v>1.319105802421785</v>
      </c>
      <c r="R108" s="6">
        <v>3.9795918367346985</v>
      </c>
      <c r="S108" s="9">
        <v>6.7640011785394638E-2</v>
      </c>
      <c r="T108" s="7" t="s">
        <v>32</v>
      </c>
      <c r="U108" t="s">
        <v>33</v>
      </c>
    </row>
    <row r="109" spans="1:21" x14ac:dyDescent="0.3">
      <c r="A109">
        <v>3</v>
      </c>
      <c r="B109" t="s">
        <v>34</v>
      </c>
      <c r="C109">
        <v>13791</v>
      </c>
      <c r="D109">
        <v>18</v>
      </c>
      <c r="E109">
        <v>52</v>
      </c>
      <c r="F109">
        <v>711</v>
      </c>
      <c r="G109">
        <v>12</v>
      </c>
      <c r="H109">
        <v>36</v>
      </c>
      <c r="I109">
        <v>8</v>
      </c>
      <c r="J109">
        <v>2</v>
      </c>
      <c r="K109" s="6">
        <v>67.551020408163268</v>
      </c>
      <c r="L109" s="7" t="s">
        <v>32</v>
      </c>
      <c r="M109">
        <v>17</v>
      </c>
      <c r="N109" s="8">
        <v>1.3051990428540352E-3</v>
      </c>
      <c r="O109" s="9">
        <v>3.770575012689435E-3</v>
      </c>
      <c r="P109" s="9">
        <v>5.1555362192734391E-2</v>
      </c>
      <c r="Q109" s="10">
        <v>0.94989485896599235</v>
      </c>
      <c r="R109" s="6">
        <v>32.448979591836732</v>
      </c>
      <c r="S109" s="9">
        <v>2.5555405252654029E-2</v>
      </c>
      <c r="T109" s="7" t="s">
        <v>32</v>
      </c>
      <c r="U109" t="s">
        <v>35</v>
      </c>
    </row>
    <row r="110" spans="1:21" x14ac:dyDescent="0.3">
      <c r="A110">
        <v>4</v>
      </c>
      <c r="B110" t="s">
        <v>36</v>
      </c>
      <c r="C110">
        <v>8812</v>
      </c>
      <c r="D110">
        <v>29</v>
      </c>
      <c r="E110">
        <v>22</v>
      </c>
      <c r="F110">
        <v>298</v>
      </c>
      <c r="G110">
        <v>32</v>
      </c>
      <c r="H110">
        <v>28</v>
      </c>
      <c r="I110">
        <v>35</v>
      </c>
      <c r="J110">
        <v>29</v>
      </c>
      <c r="K110" s="6">
        <v>38.877551020408163</v>
      </c>
      <c r="L110" s="7" t="s">
        <v>28</v>
      </c>
      <c r="M110">
        <v>35</v>
      </c>
      <c r="N110" s="8">
        <v>3.2909668633681346E-3</v>
      </c>
      <c r="O110" s="9">
        <v>2.4965955515206537E-3</v>
      </c>
      <c r="P110" s="9">
        <v>3.3817521561507038E-2</v>
      </c>
      <c r="Q110" s="10">
        <v>0.99296413980935094</v>
      </c>
      <c r="R110" s="6">
        <v>61.122448979591837</v>
      </c>
      <c r="S110" s="9">
        <v>1.6329071937233507E-2</v>
      </c>
      <c r="T110" s="7" t="s">
        <v>28</v>
      </c>
      <c r="U110" t="s">
        <v>29</v>
      </c>
    </row>
    <row r="111" spans="1:21" x14ac:dyDescent="0.3">
      <c r="A111">
        <v>5</v>
      </c>
      <c r="B111" t="s">
        <v>37</v>
      </c>
      <c r="C111">
        <v>18923</v>
      </c>
      <c r="D111">
        <v>51</v>
      </c>
      <c r="E111">
        <v>52</v>
      </c>
      <c r="F111">
        <v>541</v>
      </c>
      <c r="G111">
        <v>4</v>
      </c>
      <c r="H111">
        <v>12</v>
      </c>
      <c r="I111">
        <v>8</v>
      </c>
      <c r="J111">
        <v>10</v>
      </c>
      <c r="K111" s="6">
        <v>85.510204081632651</v>
      </c>
      <c r="L111" s="7" t="s">
        <v>31</v>
      </c>
      <c r="M111">
        <v>3</v>
      </c>
      <c r="N111" s="8">
        <v>2.6951329070443375E-3</v>
      </c>
      <c r="O111" s="9">
        <v>2.7479786503197168E-3</v>
      </c>
      <c r="P111" s="9">
        <v>2.858954711198013E-2</v>
      </c>
      <c r="Q111" s="10">
        <v>0.95386566612059398</v>
      </c>
      <c r="R111" s="6">
        <v>14.489795918367349</v>
      </c>
      <c r="S111" s="9">
        <v>3.5065255137116398E-2</v>
      </c>
      <c r="T111" s="7" t="s">
        <v>32</v>
      </c>
      <c r="U111" t="s">
        <v>33</v>
      </c>
    </row>
    <row r="112" spans="1:21" x14ac:dyDescent="0.3">
      <c r="A112">
        <v>6</v>
      </c>
      <c r="B112" t="s">
        <v>38</v>
      </c>
      <c r="C112">
        <v>8513</v>
      </c>
      <c r="D112">
        <v>35</v>
      </c>
      <c r="E112">
        <v>23</v>
      </c>
      <c r="F112">
        <v>341</v>
      </c>
      <c r="G112">
        <v>34</v>
      </c>
      <c r="H112">
        <v>25</v>
      </c>
      <c r="I112">
        <v>33</v>
      </c>
      <c r="J112">
        <v>24</v>
      </c>
      <c r="K112" s="6">
        <v>41.632653061224488</v>
      </c>
      <c r="L112" s="7" t="s">
        <v>39</v>
      </c>
      <c r="M112">
        <v>33</v>
      </c>
      <c r="N112" s="8">
        <v>4.1113590978503469E-3</v>
      </c>
      <c r="O112" s="9">
        <v>2.7017502643016562E-3</v>
      </c>
      <c r="P112" s="9">
        <v>4.0056384353341946E-2</v>
      </c>
      <c r="Q112" s="10">
        <v>1.1570539175378833</v>
      </c>
      <c r="R112" s="6">
        <v>58.367346938775512</v>
      </c>
      <c r="S112" s="9">
        <v>1.5775010145445852E-2</v>
      </c>
      <c r="T112" s="7" t="s">
        <v>28</v>
      </c>
      <c r="U112" t="s">
        <v>29</v>
      </c>
    </row>
    <row r="113" spans="1:21" x14ac:dyDescent="0.3">
      <c r="A113">
        <v>7</v>
      </c>
      <c r="B113" t="s">
        <v>40</v>
      </c>
      <c r="C113">
        <v>11472</v>
      </c>
      <c r="D113">
        <v>42</v>
      </c>
      <c r="E113">
        <v>62</v>
      </c>
      <c r="F113">
        <v>730</v>
      </c>
      <c r="G113">
        <v>19</v>
      </c>
      <c r="H113">
        <v>19</v>
      </c>
      <c r="I113">
        <v>4</v>
      </c>
      <c r="J113">
        <v>1</v>
      </c>
      <c r="K113" s="6">
        <v>74.897959183673464</v>
      </c>
      <c r="L113" s="7" t="s">
        <v>32</v>
      </c>
      <c r="M113">
        <v>9</v>
      </c>
      <c r="N113" s="8">
        <v>3.6610878661087866E-3</v>
      </c>
      <c r="O113" s="9">
        <v>5.4044630404463043E-3</v>
      </c>
      <c r="P113" s="9">
        <v>6.3633193863319393E-2</v>
      </c>
      <c r="Q113" s="10">
        <v>1.6300557880055788</v>
      </c>
      <c r="R113" s="6">
        <v>25.102040816326536</v>
      </c>
      <c r="S113" s="9">
        <v>2.1258183529725694E-2</v>
      </c>
      <c r="T113" s="7" t="s">
        <v>41</v>
      </c>
      <c r="U113" t="s">
        <v>29</v>
      </c>
    </row>
    <row r="114" spans="1:21" x14ac:dyDescent="0.3">
      <c r="A114">
        <v>8</v>
      </c>
      <c r="B114" t="s">
        <v>42</v>
      </c>
      <c r="C114">
        <v>9925</v>
      </c>
      <c r="D114">
        <v>25</v>
      </c>
      <c r="E114">
        <v>37</v>
      </c>
      <c r="F114">
        <v>659</v>
      </c>
      <c r="G114">
        <v>30</v>
      </c>
      <c r="H114">
        <v>30</v>
      </c>
      <c r="I114">
        <v>18</v>
      </c>
      <c r="J114">
        <v>5</v>
      </c>
      <c r="K114" s="6">
        <v>53.367346938775512</v>
      </c>
      <c r="L114" s="7" t="s">
        <v>39</v>
      </c>
      <c r="M114">
        <v>24</v>
      </c>
      <c r="N114" s="8">
        <v>2.5188916876574307E-3</v>
      </c>
      <c r="O114" s="9">
        <v>3.7279596977329976E-3</v>
      </c>
      <c r="P114" s="9">
        <v>6.6397984886649872E-2</v>
      </c>
      <c r="Q114" s="10">
        <v>1.1234256926952142</v>
      </c>
      <c r="R114" s="6">
        <v>46.632653061224488</v>
      </c>
      <c r="S114" s="9">
        <v>1.8391515998302608E-2</v>
      </c>
      <c r="T114" s="7" t="s">
        <v>28</v>
      </c>
      <c r="U114" t="s">
        <v>29</v>
      </c>
    </row>
    <row r="115" spans="1:21" x14ac:dyDescent="0.3">
      <c r="A115">
        <v>9</v>
      </c>
      <c r="B115" t="s">
        <v>43</v>
      </c>
      <c r="C115">
        <v>10782</v>
      </c>
      <c r="D115">
        <v>15</v>
      </c>
      <c r="E115">
        <v>36</v>
      </c>
      <c r="F115">
        <v>288</v>
      </c>
      <c r="G115">
        <v>24</v>
      </c>
      <c r="H115">
        <v>38</v>
      </c>
      <c r="I115">
        <v>20</v>
      </c>
      <c r="J115">
        <v>30</v>
      </c>
      <c r="K115" s="6">
        <v>44.285714285714285</v>
      </c>
      <c r="L115" s="7" t="s">
        <v>39</v>
      </c>
      <c r="M115">
        <v>32</v>
      </c>
      <c r="N115" s="8">
        <v>1.3912075681691708E-3</v>
      </c>
      <c r="O115" s="9">
        <v>3.3388981636060101E-3</v>
      </c>
      <c r="P115" s="9">
        <v>2.6711185308848081E-2</v>
      </c>
      <c r="Q115" s="10">
        <v>0.87646076794657757</v>
      </c>
      <c r="R115" s="6">
        <v>55.714285714285715</v>
      </c>
      <c r="S115" s="9">
        <v>1.9979579394831103E-2</v>
      </c>
      <c r="T115" s="7" t="s">
        <v>41</v>
      </c>
      <c r="U115" t="s">
        <v>44</v>
      </c>
    </row>
    <row r="116" spans="1:21" x14ac:dyDescent="0.3">
      <c r="A116">
        <v>10</v>
      </c>
      <c r="B116" t="s">
        <v>45</v>
      </c>
      <c r="C116">
        <v>7857</v>
      </c>
      <c r="D116">
        <v>14</v>
      </c>
      <c r="E116">
        <v>31</v>
      </c>
      <c r="F116">
        <v>328</v>
      </c>
      <c r="G116">
        <v>37</v>
      </c>
      <c r="H116">
        <v>41</v>
      </c>
      <c r="I116">
        <v>25</v>
      </c>
      <c r="J116">
        <v>25</v>
      </c>
      <c r="K116" s="6">
        <v>32.653061224489797</v>
      </c>
      <c r="L116" s="7" t="s">
        <v>28</v>
      </c>
      <c r="M116">
        <v>38</v>
      </c>
      <c r="N116" s="8">
        <v>1.7818505791014382E-3</v>
      </c>
      <c r="O116" s="9">
        <v>3.945526282296042E-3</v>
      </c>
      <c r="P116" s="9">
        <v>4.1746213567519411E-2</v>
      </c>
      <c r="Q116" s="10">
        <v>1.0563828433244242</v>
      </c>
      <c r="R116" s="6">
        <v>67.34693877551021</v>
      </c>
      <c r="S116" s="9">
        <v>1.4559409692560562E-2</v>
      </c>
      <c r="T116" s="7" t="s">
        <v>28</v>
      </c>
      <c r="U116" t="s">
        <v>29</v>
      </c>
    </row>
    <row r="117" spans="1:21" x14ac:dyDescent="0.3">
      <c r="A117">
        <v>11</v>
      </c>
      <c r="B117" t="s">
        <v>46</v>
      </c>
      <c r="C117">
        <v>7752</v>
      </c>
      <c r="D117">
        <v>9</v>
      </c>
      <c r="E117">
        <v>18</v>
      </c>
      <c r="F117">
        <v>348</v>
      </c>
      <c r="G117">
        <v>39</v>
      </c>
      <c r="H117">
        <v>44</v>
      </c>
      <c r="I117">
        <v>39</v>
      </c>
      <c r="J117">
        <v>23</v>
      </c>
      <c r="K117" s="6">
        <v>24.285714285714288</v>
      </c>
      <c r="L117" s="7" t="s">
        <v>28</v>
      </c>
      <c r="M117">
        <v>42</v>
      </c>
      <c r="N117" s="8">
        <v>1.1609907120743034E-3</v>
      </c>
      <c r="O117" s="9">
        <v>2.3219814241486067E-3</v>
      </c>
      <c r="P117" s="9">
        <v>4.4891640866873063E-2</v>
      </c>
      <c r="Q117" s="10">
        <v>0.63854489164086692</v>
      </c>
      <c r="R117" s="6">
        <v>75.714285714285708</v>
      </c>
      <c r="S117" s="9">
        <v>1.4364839498120081E-2</v>
      </c>
      <c r="T117" s="7" t="s">
        <v>28</v>
      </c>
      <c r="U117" t="s">
        <v>29</v>
      </c>
    </row>
    <row r="118" spans="1:21" x14ac:dyDescent="0.3">
      <c r="A118">
        <v>12</v>
      </c>
      <c r="B118" t="s">
        <v>47</v>
      </c>
      <c r="C118">
        <v>14392</v>
      </c>
      <c r="D118">
        <v>37</v>
      </c>
      <c r="E118">
        <v>59</v>
      </c>
      <c r="F118">
        <v>707</v>
      </c>
      <c r="G118">
        <v>11</v>
      </c>
      <c r="H118">
        <v>23</v>
      </c>
      <c r="I118">
        <v>6</v>
      </c>
      <c r="J118">
        <v>4</v>
      </c>
      <c r="K118" s="6">
        <v>76.428571428571416</v>
      </c>
      <c r="L118" s="7" t="s">
        <v>32</v>
      </c>
      <c r="M118">
        <v>6</v>
      </c>
      <c r="N118" s="8">
        <v>2.5708727070594775E-3</v>
      </c>
      <c r="O118" s="9">
        <v>4.0994997220678156E-3</v>
      </c>
      <c r="P118" s="9">
        <v>4.9124513618677042E-2</v>
      </c>
      <c r="Q118" s="10">
        <v>1.2055308504724849</v>
      </c>
      <c r="R118" s="6">
        <v>23.571428571428584</v>
      </c>
      <c r="S118" s="9">
        <v>2.6669087984641925E-2</v>
      </c>
      <c r="T118" s="7" t="s">
        <v>32</v>
      </c>
      <c r="U118" t="s">
        <v>35</v>
      </c>
    </row>
    <row r="119" spans="1:21" x14ac:dyDescent="0.3">
      <c r="A119">
        <v>13</v>
      </c>
      <c r="B119" t="s">
        <v>48</v>
      </c>
      <c r="C119">
        <v>12438</v>
      </c>
      <c r="D119">
        <v>69</v>
      </c>
      <c r="E119">
        <v>63</v>
      </c>
      <c r="F119">
        <v>575</v>
      </c>
      <c r="G119">
        <v>16</v>
      </c>
      <c r="H119">
        <v>9</v>
      </c>
      <c r="I119">
        <v>3</v>
      </c>
      <c r="J119">
        <v>8</v>
      </c>
      <c r="K119" s="6">
        <v>81.428571428571431</v>
      </c>
      <c r="L119" s="7" t="s">
        <v>31</v>
      </c>
      <c r="M119">
        <v>4</v>
      </c>
      <c r="N119" s="8">
        <v>5.5475156777616977E-3</v>
      </c>
      <c r="O119" s="9">
        <v>5.065123010130246E-3</v>
      </c>
      <c r="P119" s="9">
        <v>4.6229297314680819E-2</v>
      </c>
      <c r="Q119" s="10">
        <v>1.8451519536903038</v>
      </c>
      <c r="R119" s="6">
        <v>18.571428571428569</v>
      </c>
      <c r="S119" s="9">
        <v>2.3048229318578119E-2</v>
      </c>
      <c r="T119" s="7" t="s">
        <v>41</v>
      </c>
      <c r="U119" t="s">
        <v>29</v>
      </c>
    </row>
    <row r="120" spans="1:21" x14ac:dyDescent="0.3">
      <c r="A120">
        <v>14</v>
      </c>
      <c r="B120" t="s">
        <v>49</v>
      </c>
      <c r="C120">
        <v>15024</v>
      </c>
      <c r="D120">
        <v>58</v>
      </c>
      <c r="E120">
        <v>37</v>
      </c>
      <c r="F120">
        <v>253</v>
      </c>
      <c r="G120">
        <v>8</v>
      </c>
      <c r="H120">
        <v>11</v>
      </c>
      <c r="I120">
        <v>18</v>
      </c>
      <c r="J120">
        <v>34</v>
      </c>
      <c r="K120" s="6">
        <v>71.836734693877546</v>
      </c>
      <c r="L120" s="7" t="s">
        <v>32</v>
      </c>
      <c r="M120">
        <v>12</v>
      </c>
      <c r="N120" s="8">
        <v>3.8604898828541001E-3</v>
      </c>
      <c r="O120" s="9">
        <v>2.4627263045793398E-3</v>
      </c>
      <c r="P120" s="9">
        <v>1.683972310969116E-2</v>
      </c>
      <c r="Q120" s="10">
        <v>1.071618743343983</v>
      </c>
      <c r="R120" s="6">
        <v>28.163265306122454</v>
      </c>
      <c r="S120" s="9">
        <v>2.7840215250226535E-2</v>
      </c>
      <c r="T120" s="7" t="s">
        <v>32</v>
      </c>
      <c r="U120" t="s">
        <v>35</v>
      </c>
    </row>
    <row r="121" spans="1:21" x14ac:dyDescent="0.3">
      <c r="A121">
        <v>15</v>
      </c>
      <c r="B121" t="s">
        <v>50</v>
      </c>
      <c r="C121">
        <v>6250</v>
      </c>
      <c r="D121">
        <v>31</v>
      </c>
      <c r="E121">
        <v>15</v>
      </c>
      <c r="F121">
        <v>128</v>
      </c>
      <c r="G121">
        <v>43</v>
      </c>
      <c r="H121">
        <v>26</v>
      </c>
      <c r="I121">
        <v>43</v>
      </c>
      <c r="J121">
        <v>44</v>
      </c>
      <c r="K121" s="6">
        <v>24.387755102040821</v>
      </c>
      <c r="L121" s="7" t="s">
        <v>28</v>
      </c>
      <c r="M121">
        <v>41</v>
      </c>
      <c r="N121" s="8">
        <v>4.96E-3</v>
      </c>
      <c r="O121" s="9">
        <v>2.3999999999999998E-3</v>
      </c>
      <c r="P121" s="9">
        <v>2.0480000000000002E-2</v>
      </c>
      <c r="Q121" s="10">
        <v>1.224</v>
      </c>
      <c r="R121" s="6">
        <v>75.612244897959187</v>
      </c>
      <c r="S121" s="9">
        <v>1.1581559192885773E-2</v>
      </c>
      <c r="T121" s="7" t="s">
        <v>28</v>
      </c>
      <c r="U121" t="s">
        <v>29</v>
      </c>
    </row>
    <row r="122" spans="1:21" x14ac:dyDescent="0.3">
      <c r="A122">
        <v>16</v>
      </c>
      <c r="B122" t="s">
        <v>51</v>
      </c>
      <c r="C122">
        <v>8603</v>
      </c>
      <c r="D122">
        <v>36</v>
      </c>
      <c r="E122">
        <v>35</v>
      </c>
      <c r="F122">
        <v>552</v>
      </c>
      <c r="G122">
        <v>33</v>
      </c>
      <c r="H122">
        <v>24</v>
      </c>
      <c r="I122">
        <v>22</v>
      </c>
      <c r="J122">
        <v>9</v>
      </c>
      <c r="K122" s="6">
        <v>52.040816326530617</v>
      </c>
      <c r="L122" s="7" t="s">
        <v>39</v>
      </c>
      <c r="M122">
        <v>26</v>
      </c>
      <c r="N122" s="8">
        <v>4.1845867720562598E-3</v>
      </c>
      <c r="O122" s="9">
        <v>4.0683482506102524E-3</v>
      </c>
      <c r="P122" s="9">
        <v>6.4163663838195981E-2</v>
      </c>
      <c r="Q122" s="10">
        <v>1.4413576659304892</v>
      </c>
      <c r="R122" s="6">
        <v>47.959183673469383</v>
      </c>
      <c r="S122" s="9">
        <v>1.5941784597823409E-2</v>
      </c>
      <c r="T122" s="7" t="s">
        <v>28</v>
      </c>
      <c r="U122" t="s">
        <v>29</v>
      </c>
    </row>
    <row r="123" spans="1:21" x14ac:dyDescent="0.3">
      <c r="A123">
        <v>17</v>
      </c>
      <c r="B123" t="s">
        <v>52</v>
      </c>
      <c r="C123">
        <v>4522</v>
      </c>
      <c r="D123">
        <v>9</v>
      </c>
      <c r="E123">
        <v>10</v>
      </c>
      <c r="F123">
        <v>61</v>
      </c>
      <c r="G123">
        <v>44</v>
      </c>
      <c r="H123">
        <v>44</v>
      </c>
      <c r="I123">
        <v>45</v>
      </c>
      <c r="J123">
        <v>46</v>
      </c>
      <c r="K123" s="6">
        <v>11.22448979591837</v>
      </c>
      <c r="L123" s="7" t="s">
        <v>28</v>
      </c>
      <c r="M123">
        <v>46</v>
      </c>
      <c r="N123" s="8">
        <v>1.9902697921273774E-3</v>
      </c>
      <c r="O123" s="9">
        <v>2.2114108801415304E-3</v>
      </c>
      <c r="P123" s="9">
        <v>1.3489606368863335E-2</v>
      </c>
      <c r="Q123" s="10">
        <v>0.74082264484741267</v>
      </c>
      <c r="R123" s="6">
        <v>88.775510204081627</v>
      </c>
      <c r="S123" s="9">
        <v>8.379489707236714E-3</v>
      </c>
      <c r="T123" s="7" t="s">
        <v>28</v>
      </c>
      <c r="U123" t="s">
        <v>29</v>
      </c>
    </row>
    <row r="124" spans="1:21" x14ac:dyDescent="0.3">
      <c r="A124">
        <v>18</v>
      </c>
      <c r="B124" t="s">
        <v>53</v>
      </c>
      <c r="C124">
        <v>4054</v>
      </c>
      <c r="D124">
        <v>80</v>
      </c>
      <c r="E124">
        <v>12</v>
      </c>
      <c r="F124">
        <v>168</v>
      </c>
      <c r="G124">
        <v>46</v>
      </c>
      <c r="H124">
        <v>5</v>
      </c>
      <c r="I124">
        <v>44</v>
      </c>
      <c r="J124">
        <v>40</v>
      </c>
      <c r="K124" s="6">
        <v>35.918367346938773</v>
      </c>
      <c r="L124" s="7" t="s">
        <v>28</v>
      </c>
      <c r="M124">
        <v>37</v>
      </c>
      <c r="N124" s="8">
        <v>1.9733596447952639E-2</v>
      </c>
      <c r="O124" s="9">
        <v>2.9600394671928957E-3</v>
      </c>
      <c r="P124" s="9">
        <v>4.1440552540700545E-2</v>
      </c>
      <c r="Q124" s="10">
        <v>3.5520473606314753</v>
      </c>
      <c r="R124" s="6">
        <v>64.081632653061234</v>
      </c>
      <c r="S124" s="9">
        <v>7.5122625548734272E-3</v>
      </c>
      <c r="T124" s="7" t="s">
        <v>28</v>
      </c>
      <c r="U124" t="s">
        <v>29</v>
      </c>
    </row>
    <row r="125" spans="1:21" x14ac:dyDescent="0.3">
      <c r="A125">
        <v>19</v>
      </c>
      <c r="B125" t="s">
        <v>54</v>
      </c>
      <c r="C125">
        <v>10509</v>
      </c>
      <c r="D125">
        <v>44</v>
      </c>
      <c r="E125">
        <v>29</v>
      </c>
      <c r="F125">
        <v>423</v>
      </c>
      <c r="G125">
        <v>27</v>
      </c>
      <c r="H125">
        <v>17</v>
      </c>
      <c r="I125">
        <v>29</v>
      </c>
      <c r="J125">
        <v>18</v>
      </c>
      <c r="K125" s="6">
        <v>55</v>
      </c>
      <c r="L125" s="7" t="s">
        <v>39</v>
      </c>
      <c r="M125">
        <v>23</v>
      </c>
      <c r="N125" s="8">
        <v>4.1868874298220575E-3</v>
      </c>
      <c r="O125" s="9">
        <v>2.7595394423827195E-3</v>
      </c>
      <c r="P125" s="9">
        <v>4.025121324578932E-2</v>
      </c>
      <c r="Q125" s="10">
        <v>1.1799410029498525</v>
      </c>
      <c r="R125" s="6">
        <v>45</v>
      </c>
      <c r="S125" s="9">
        <v>1.9473696889285852E-2</v>
      </c>
      <c r="T125" s="7" t="s">
        <v>28</v>
      </c>
      <c r="U125" t="s">
        <v>29</v>
      </c>
    </row>
    <row r="126" spans="1:21" x14ac:dyDescent="0.3">
      <c r="A126">
        <v>20</v>
      </c>
      <c r="B126" t="s">
        <v>55</v>
      </c>
      <c r="C126">
        <v>10010</v>
      </c>
      <c r="D126">
        <v>31</v>
      </c>
      <c r="E126">
        <v>36</v>
      </c>
      <c r="F126">
        <v>402</v>
      </c>
      <c r="G126">
        <v>29</v>
      </c>
      <c r="H126">
        <v>26</v>
      </c>
      <c r="I126">
        <v>20</v>
      </c>
      <c r="J126">
        <v>20</v>
      </c>
      <c r="K126" s="6">
        <v>51.122448979591837</v>
      </c>
      <c r="L126" s="7" t="s">
        <v>39</v>
      </c>
      <c r="M126">
        <v>28</v>
      </c>
      <c r="N126" s="8">
        <v>3.0969030969030969E-3</v>
      </c>
      <c r="O126" s="9">
        <v>3.5964035964035964E-3</v>
      </c>
      <c r="P126" s="9">
        <v>4.0159840159840157E-2</v>
      </c>
      <c r="Q126" s="10">
        <v>1.1838161838161838</v>
      </c>
      <c r="R126" s="6">
        <v>48.877551020408163</v>
      </c>
      <c r="S126" s="9">
        <v>1.8549025203325853E-2</v>
      </c>
      <c r="T126" s="7" t="s">
        <v>28</v>
      </c>
      <c r="U126" t="s">
        <v>29</v>
      </c>
    </row>
    <row r="127" spans="1:21" x14ac:dyDescent="0.3">
      <c r="A127">
        <v>21</v>
      </c>
      <c r="B127" t="s">
        <v>56</v>
      </c>
      <c r="C127">
        <v>1412</v>
      </c>
      <c r="D127">
        <v>5</v>
      </c>
      <c r="E127">
        <v>8</v>
      </c>
      <c r="F127">
        <v>1</v>
      </c>
      <c r="G127">
        <v>47</v>
      </c>
      <c r="H127">
        <v>47</v>
      </c>
      <c r="I127">
        <v>47</v>
      </c>
      <c r="J127">
        <v>47</v>
      </c>
      <c r="K127" s="6">
        <v>6.122448979591832</v>
      </c>
      <c r="L127" s="7" t="s">
        <v>28</v>
      </c>
      <c r="M127">
        <v>47</v>
      </c>
      <c r="N127" s="8">
        <v>3.5410764872521247E-3</v>
      </c>
      <c r="O127" s="9">
        <v>5.6657223796033997E-3</v>
      </c>
      <c r="P127" s="9">
        <v>7.0821529745042496E-4</v>
      </c>
      <c r="Q127" s="10">
        <v>1.6643059490084984</v>
      </c>
      <c r="R127" s="6">
        <v>93.877551020408163</v>
      </c>
      <c r="S127" s="9">
        <v>2.6165058528567538E-3</v>
      </c>
      <c r="T127" s="7" t="s">
        <v>28</v>
      </c>
      <c r="U127" t="s">
        <v>29</v>
      </c>
    </row>
    <row r="128" spans="1:21" x14ac:dyDescent="0.3">
      <c r="A128">
        <v>22</v>
      </c>
      <c r="B128" t="s">
        <v>57</v>
      </c>
      <c r="C128">
        <v>644</v>
      </c>
      <c r="D128">
        <v>1</v>
      </c>
      <c r="E128">
        <v>1</v>
      </c>
      <c r="F128">
        <v>0</v>
      </c>
      <c r="G128">
        <v>48</v>
      </c>
      <c r="H128">
        <v>48</v>
      </c>
      <c r="I128">
        <v>48</v>
      </c>
      <c r="J128">
        <v>48</v>
      </c>
      <c r="K128" s="6">
        <v>4.081632653061229</v>
      </c>
      <c r="L128" s="7" t="s">
        <v>28</v>
      </c>
      <c r="M128">
        <v>48</v>
      </c>
      <c r="N128" s="8">
        <v>1.5527950310559005E-3</v>
      </c>
      <c r="O128" s="9">
        <v>1.5527950310559005E-3</v>
      </c>
      <c r="P128" s="9">
        <v>0</v>
      </c>
      <c r="Q128" s="10">
        <v>0.54347826086956519</v>
      </c>
      <c r="R128" s="6">
        <v>95.918367346938766</v>
      </c>
      <c r="S128" s="9">
        <v>1.1933638592349499E-3</v>
      </c>
      <c r="T128" s="7" t="s">
        <v>28</v>
      </c>
      <c r="U128" t="s">
        <v>29</v>
      </c>
    </row>
    <row r="129" spans="1:21" x14ac:dyDescent="0.3">
      <c r="A129">
        <v>23</v>
      </c>
      <c r="B129" t="s">
        <v>58</v>
      </c>
      <c r="C129">
        <v>14523</v>
      </c>
      <c r="D129">
        <v>49</v>
      </c>
      <c r="E129">
        <v>46</v>
      </c>
      <c r="F129">
        <v>538</v>
      </c>
      <c r="G129">
        <v>10</v>
      </c>
      <c r="H129">
        <v>13</v>
      </c>
      <c r="I129">
        <v>13</v>
      </c>
      <c r="J129">
        <v>11</v>
      </c>
      <c r="K129" s="6">
        <v>78.265306122448976</v>
      </c>
      <c r="L129" s="7" t="s">
        <v>32</v>
      </c>
      <c r="M129">
        <v>5</v>
      </c>
      <c r="N129" s="8">
        <v>3.3739585485092613E-3</v>
      </c>
      <c r="O129" s="9">
        <v>3.1673896577842043E-3</v>
      </c>
      <c r="P129" s="9">
        <v>3.7044687736693518E-2</v>
      </c>
      <c r="Q129" s="10">
        <v>1.13957171383323</v>
      </c>
      <c r="R129" s="6">
        <v>21.734693877551024</v>
      </c>
      <c r="S129" s="9">
        <v>2.6911837465324811E-2</v>
      </c>
      <c r="T129" s="7" t="s">
        <v>32</v>
      </c>
      <c r="U129" t="s">
        <v>35</v>
      </c>
    </row>
    <row r="130" spans="1:21" x14ac:dyDescent="0.3">
      <c r="A130">
        <v>24</v>
      </c>
      <c r="B130" t="s">
        <v>59</v>
      </c>
      <c r="C130">
        <v>16550</v>
      </c>
      <c r="D130">
        <v>24</v>
      </c>
      <c r="E130">
        <v>26</v>
      </c>
      <c r="F130">
        <v>217</v>
      </c>
      <c r="G130">
        <v>5</v>
      </c>
      <c r="H130">
        <v>31</v>
      </c>
      <c r="I130">
        <v>30</v>
      </c>
      <c r="J130">
        <v>37</v>
      </c>
      <c r="K130" s="6">
        <v>55.918367346938773</v>
      </c>
      <c r="L130" s="7" t="s">
        <v>39</v>
      </c>
      <c r="M130">
        <v>21</v>
      </c>
      <c r="N130" s="8">
        <v>1.4501510574018127E-3</v>
      </c>
      <c r="O130" s="9">
        <v>1.5709969788519637E-3</v>
      </c>
      <c r="P130" s="9">
        <v>1.3111782477341389E-2</v>
      </c>
      <c r="Q130" s="10">
        <v>0.53172205438066467</v>
      </c>
      <c r="R130" s="6">
        <v>44.081632653061227</v>
      </c>
      <c r="S130" s="9">
        <v>3.0667968742761526E-2</v>
      </c>
      <c r="T130" s="7" t="s">
        <v>32</v>
      </c>
      <c r="U130" t="s">
        <v>29</v>
      </c>
    </row>
    <row r="131" spans="1:21" x14ac:dyDescent="0.3">
      <c r="A131">
        <v>25</v>
      </c>
      <c r="B131" t="s">
        <v>60</v>
      </c>
      <c r="C131">
        <v>8935</v>
      </c>
      <c r="D131">
        <v>43</v>
      </c>
      <c r="E131">
        <v>42</v>
      </c>
      <c r="F131">
        <v>381</v>
      </c>
      <c r="G131">
        <v>31</v>
      </c>
      <c r="H131">
        <v>18</v>
      </c>
      <c r="I131">
        <v>16</v>
      </c>
      <c r="J131">
        <v>22</v>
      </c>
      <c r="K131" s="6">
        <v>55.612244897959179</v>
      </c>
      <c r="L131" s="7" t="s">
        <v>39</v>
      </c>
      <c r="M131">
        <v>22</v>
      </c>
      <c r="N131" s="8">
        <v>4.812534974818131E-3</v>
      </c>
      <c r="O131" s="9">
        <v>4.7006155567991042E-3</v>
      </c>
      <c r="P131" s="9">
        <v>4.2641298265249018E-2</v>
      </c>
      <c r="Q131" s="10">
        <v>1.6620033575825404</v>
      </c>
      <c r="R131" s="6">
        <v>44.387755102040821</v>
      </c>
      <c r="S131" s="9">
        <v>1.6556997022149501E-2</v>
      </c>
      <c r="T131" s="7" t="s">
        <v>28</v>
      </c>
      <c r="U131" t="s">
        <v>29</v>
      </c>
    </row>
    <row r="132" spans="1:21" x14ac:dyDescent="0.3">
      <c r="A132">
        <v>26</v>
      </c>
      <c r="B132" t="s">
        <v>61</v>
      </c>
      <c r="C132">
        <v>20366</v>
      </c>
      <c r="D132">
        <v>117</v>
      </c>
      <c r="E132">
        <v>51</v>
      </c>
      <c r="F132">
        <v>587</v>
      </c>
      <c r="G132">
        <v>3</v>
      </c>
      <c r="H132">
        <v>2</v>
      </c>
      <c r="I132">
        <v>10</v>
      </c>
      <c r="J132">
        <v>7</v>
      </c>
      <c r="K132" s="6">
        <v>92.448979591836732</v>
      </c>
      <c r="L132" s="7" t="s">
        <v>31</v>
      </c>
      <c r="M132">
        <v>2</v>
      </c>
      <c r="N132" s="8">
        <v>5.7448688991456349E-3</v>
      </c>
      <c r="O132" s="9">
        <v>2.5041736227045075E-3</v>
      </c>
      <c r="P132" s="9">
        <v>2.8822547382893058E-2</v>
      </c>
      <c r="Q132" s="10">
        <v>1.3625650594127467</v>
      </c>
      <c r="R132" s="6">
        <v>7.5510204081632679</v>
      </c>
      <c r="S132" s="9">
        <v>3.7739205523569866E-2</v>
      </c>
      <c r="T132" s="7" t="s">
        <v>32</v>
      </c>
      <c r="U132" t="s">
        <v>33</v>
      </c>
    </row>
    <row r="133" spans="1:21" x14ac:dyDescent="0.3">
      <c r="A133">
        <v>27</v>
      </c>
      <c r="B133" t="s">
        <v>62</v>
      </c>
      <c r="C133">
        <v>11745</v>
      </c>
      <c r="D133">
        <v>45</v>
      </c>
      <c r="E133">
        <v>46</v>
      </c>
      <c r="F133">
        <v>322</v>
      </c>
      <c r="G133">
        <v>18</v>
      </c>
      <c r="H133">
        <v>15</v>
      </c>
      <c r="I133">
        <v>13</v>
      </c>
      <c r="J133">
        <v>26</v>
      </c>
      <c r="K133" s="6">
        <v>66.734693877551024</v>
      </c>
      <c r="L133" s="7" t="s">
        <v>32</v>
      </c>
      <c r="M133">
        <v>18</v>
      </c>
      <c r="N133" s="8">
        <v>3.8314176245210726E-3</v>
      </c>
      <c r="O133" s="9">
        <v>3.9165602383993189E-3</v>
      </c>
      <c r="P133" s="9">
        <v>2.741592166879523E-2</v>
      </c>
      <c r="Q133" s="10">
        <v>1.3580246913580247</v>
      </c>
      <c r="R133" s="6">
        <v>33.265306122448976</v>
      </c>
      <c r="S133" s="9">
        <v>2.1764066035270944E-2</v>
      </c>
      <c r="T133" s="7" t="s">
        <v>41</v>
      </c>
      <c r="U133" t="s">
        <v>29</v>
      </c>
    </row>
    <row r="134" spans="1:21" x14ac:dyDescent="0.3">
      <c r="A134">
        <v>28</v>
      </c>
      <c r="B134" t="s">
        <v>63</v>
      </c>
      <c r="C134">
        <v>10878</v>
      </c>
      <c r="D134">
        <v>95</v>
      </c>
      <c r="E134">
        <v>47</v>
      </c>
      <c r="F134">
        <v>299</v>
      </c>
      <c r="G134">
        <v>22</v>
      </c>
      <c r="H134">
        <v>4</v>
      </c>
      <c r="I134">
        <v>12</v>
      </c>
      <c r="J134">
        <v>28</v>
      </c>
      <c r="K134" s="6">
        <v>70.408163265306129</v>
      </c>
      <c r="L134" s="7" t="s">
        <v>32</v>
      </c>
      <c r="M134">
        <v>13</v>
      </c>
      <c r="N134" s="8">
        <v>8.7332230189373049E-3</v>
      </c>
      <c r="O134" s="9">
        <v>4.3206471777900348E-3</v>
      </c>
      <c r="P134" s="9">
        <v>2.7486670343813201E-2</v>
      </c>
      <c r="Q134" s="10">
        <v>2.1741128883986027</v>
      </c>
      <c r="R134" s="6">
        <v>29.591836734693871</v>
      </c>
      <c r="S134" s="9">
        <v>2.0157472144033829E-2</v>
      </c>
      <c r="T134" s="7" t="s">
        <v>41</v>
      </c>
      <c r="U134" t="s">
        <v>29</v>
      </c>
    </row>
    <row r="135" spans="1:21" x14ac:dyDescent="0.3">
      <c r="A135">
        <v>29</v>
      </c>
      <c r="B135" t="s">
        <v>64</v>
      </c>
      <c r="C135">
        <v>6419</v>
      </c>
      <c r="D135">
        <v>21</v>
      </c>
      <c r="E135">
        <v>17</v>
      </c>
      <c r="F135">
        <v>95</v>
      </c>
      <c r="G135">
        <v>42</v>
      </c>
      <c r="H135">
        <v>33</v>
      </c>
      <c r="I135">
        <v>41</v>
      </c>
      <c r="J135">
        <v>45</v>
      </c>
      <c r="K135" s="6">
        <v>21.326530612244898</v>
      </c>
      <c r="L135" s="7" t="s">
        <v>28</v>
      </c>
      <c r="M135">
        <v>44</v>
      </c>
      <c r="N135" s="8">
        <v>3.2715376226826608E-3</v>
      </c>
      <c r="O135" s="9">
        <v>2.6483875993145349E-3</v>
      </c>
      <c r="P135" s="9">
        <v>1.479981305499299E-2</v>
      </c>
      <c r="Q135" s="10">
        <v>1.0204081632653061</v>
      </c>
      <c r="R135" s="6">
        <v>78.673469387755105</v>
      </c>
      <c r="S135" s="9">
        <v>1.1894724553461404E-2</v>
      </c>
      <c r="T135" s="7" t="s">
        <v>28</v>
      </c>
      <c r="U135" t="s">
        <v>29</v>
      </c>
    </row>
    <row r="136" spans="1:21" x14ac:dyDescent="0.3">
      <c r="A136">
        <v>30</v>
      </c>
      <c r="B136" t="s">
        <v>65</v>
      </c>
      <c r="C136">
        <v>12017</v>
      </c>
      <c r="D136">
        <v>29</v>
      </c>
      <c r="E136">
        <v>30</v>
      </c>
      <c r="F136">
        <v>286</v>
      </c>
      <c r="G136">
        <v>17</v>
      </c>
      <c r="H136">
        <v>28</v>
      </c>
      <c r="I136">
        <v>28</v>
      </c>
      <c r="J136">
        <v>31</v>
      </c>
      <c r="K136" s="6">
        <v>51.83673469387756</v>
      </c>
      <c r="L136" s="7" t="s">
        <v>39</v>
      </c>
      <c r="M136">
        <v>27</v>
      </c>
      <c r="N136" s="8">
        <v>2.4132478988100193E-3</v>
      </c>
      <c r="O136" s="9">
        <v>2.4964633435965713E-3</v>
      </c>
      <c r="P136" s="9">
        <v>2.3799617208953981E-2</v>
      </c>
      <c r="Q136" s="10">
        <v>0.86127985354081726</v>
      </c>
      <c r="R136" s="6">
        <v>48.16326530612244</v>
      </c>
      <c r="S136" s="9">
        <v>2.2268095491345334E-2</v>
      </c>
      <c r="T136" s="7" t="s">
        <v>41</v>
      </c>
      <c r="U136" t="s">
        <v>44</v>
      </c>
    </row>
    <row r="137" spans="1:21" x14ac:dyDescent="0.3">
      <c r="A137">
        <v>31</v>
      </c>
      <c r="B137" t="s">
        <v>66</v>
      </c>
      <c r="C137">
        <v>15705</v>
      </c>
      <c r="D137">
        <v>38</v>
      </c>
      <c r="E137">
        <v>35</v>
      </c>
      <c r="F137">
        <v>648</v>
      </c>
      <c r="G137">
        <v>7</v>
      </c>
      <c r="H137">
        <v>21</v>
      </c>
      <c r="I137">
        <v>22</v>
      </c>
      <c r="J137">
        <v>6</v>
      </c>
      <c r="K137" s="6">
        <v>73.367346938775512</v>
      </c>
      <c r="L137" s="7" t="s">
        <v>32</v>
      </c>
      <c r="M137">
        <v>11</v>
      </c>
      <c r="N137" s="8">
        <v>2.4196115886660299E-3</v>
      </c>
      <c r="O137" s="9">
        <v>2.2285896211397642E-3</v>
      </c>
      <c r="P137" s="9">
        <v>4.126074498567335E-2</v>
      </c>
      <c r="Q137" s="10">
        <v>0.80865966252785737</v>
      </c>
      <c r="R137" s="6">
        <v>26.632653061224488</v>
      </c>
      <c r="S137" s="9">
        <v>2.9102141939883371E-2</v>
      </c>
      <c r="T137" s="7" t="s">
        <v>32</v>
      </c>
      <c r="U137" t="s">
        <v>35</v>
      </c>
    </row>
    <row r="138" spans="1:21" x14ac:dyDescent="0.3">
      <c r="A138">
        <v>32</v>
      </c>
      <c r="B138" t="s">
        <v>67</v>
      </c>
      <c r="C138">
        <v>13536</v>
      </c>
      <c r="D138">
        <v>45</v>
      </c>
      <c r="E138">
        <v>18</v>
      </c>
      <c r="F138">
        <v>220</v>
      </c>
      <c r="G138">
        <v>13</v>
      </c>
      <c r="H138">
        <v>15</v>
      </c>
      <c r="I138">
        <v>39</v>
      </c>
      <c r="J138">
        <v>36</v>
      </c>
      <c r="K138" s="6">
        <v>56.632653061224495</v>
      </c>
      <c r="L138" s="7" t="s">
        <v>39</v>
      </c>
      <c r="M138">
        <v>20</v>
      </c>
      <c r="N138" s="8">
        <v>3.324468085106383E-3</v>
      </c>
      <c r="O138" s="9">
        <v>1.3297872340425532E-3</v>
      </c>
      <c r="P138" s="9">
        <v>1.6252955082742316E-2</v>
      </c>
      <c r="Q138" s="10">
        <v>0.7646276595744681</v>
      </c>
      <c r="R138" s="6">
        <v>43.367346938775505</v>
      </c>
      <c r="S138" s="9">
        <v>2.5082877637584291E-2</v>
      </c>
      <c r="T138" s="7" t="s">
        <v>32</v>
      </c>
      <c r="U138" t="s">
        <v>29</v>
      </c>
    </row>
    <row r="139" spans="1:21" x14ac:dyDescent="0.3">
      <c r="A139">
        <v>33</v>
      </c>
      <c r="B139" t="s">
        <v>68</v>
      </c>
      <c r="C139">
        <v>10622</v>
      </c>
      <c r="D139">
        <v>76</v>
      </c>
      <c r="E139">
        <v>74</v>
      </c>
      <c r="F139">
        <v>460</v>
      </c>
      <c r="G139">
        <v>25</v>
      </c>
      <c r="H139">
        <v>6</v>
      </c>
      <c r="I139">
        <v>2</v>
      </c>
      <c r="J139">
        <v>17</v>
      </c>
      <c r="K139" s="6">
        <v>74.489795918367349</v>
      </c>
      <c r="L139" s="7" t="s">
        <v>32</v>
      </c>
      <c r="M139">
        <v>10</v>
      </c>
      <c r="N139" s="8">
        <v>7.1549614008661272E-3</v>
      </c>
      <c r="O139" s="9">
        <v>6.966672942948597E-3</v>
      </c>
      <c r="P139" s="9">
        <v>4.3306345321031822E-2</v>
      </c>
      <c r="Q139" s="10">
        <v>2.4665787987196386</v>
      </c>
      <c r="R139" s="6">
        <v>25.510204081632651</v>
      </c>
      <c r="S139" s="9">
        <v>1.968309147949323E-2</v>
      </c>
      <c r="T139" s="7" t="s">
        <v>41</v>
      </c>
      <c r="U139" t="s">
        <v>29</v>
      </c>
    </row>
    <row r="140" spans="1:21" x14ac:dyDescent="0.3">
      <c r="A140">
        <v>34</v>
      </c>
      <c r="B140" t="s">
        <v>69</v>
      </c>
      <c r="C140">
        <v>10512</v>
      </c>
      <c r="D140">
        <v>15</v>
      </c>
      <c r="E140">
        <v>31</v>
      </c>
      <c r="F140">
        <v>710</v>
      </c>
      <c r="G140">
        <v>26</v>
      </c>
      <c r="H140">
        <v>38</v>
      </c>
      <c r="I140">
        <v>25</v>
      </c>
      <c r="J140">
        <v>3</v>
      </c>
      <c r="K140" s="6">
        <v>49.08163265306122</v>
      </c>
      <c r="L140" s="7" t="s">
        <v>39</v>
      </c>
      <c r="M140">
        <v>30</v>
      </c>
      <c r="N140" s="8">
        <v>1.4269406392694063E-3</v>
      </c>
      <c r="O140" s="9">
        <v>2.9490106544901064E-3</v>
      </c>
      <c r="P140" s="9">
        <v>6.7541856925418572E-2</v>
      </c>
      <c r="Q140" s="10">
        <v>0.80384322678843223</v>
      </c>
      <c r="R140" s="6">
        <v>50.91836734693878</v>
      </c>
      <c r="S140" s="9">
        <v>1.9479256037698438E-2</v>
      </c>
      <c r="T140" s="7" t="s">
        <v>28</v>
      </c>
      <c r="U140" t="s">
        <v>29</v>
      </c>
    </row>
    <row r="141" spans="1:21" x14ac:dyDescent="0.3">
      <c r="A141">
        <v>35</v>
      </c>
      <c r="B141" t="s">
        <v>70</v>
      </c>
      <c r="C141">
        <v>8048</v>
      </c>
      <c r="D141">
        <v>9</v>
      </c>
      <c r="E141">
        <v>24</v>
      </c>
      <c r="F141">
        <v>155</v>
      </c>
      <c r="G141">
        <v>35</v>
      </c>
      <c r="H141">
        <v>44</v>
      </c>
      <c r="I141">
        <v>31</v>
      </c>
      <c r="J141">
        <v>42</v>
      </c>
      <c r="K141" s="6">
        <v>24.591836734693878</v>
      </c>
      <c r="L141" s="7" t="s">
        <v>28</v>
      </c>
      <c r="M141">
        <v>39</v>
      </c>
      <c r="N141" s="8">
        <v>1.1182902584493041E-3</v>
      </c>
      <c r="O141" s="9">
        <v>2.982107355864811E-3</v>
      </c>
      <c r="P141" s="9">
        <v>1.9259443339960238E-2</v>
      </c>
      <c r="Q141" s="10">
        <v>0.76416500994035785</v>
      </c>
      <c r="R141" s="6">
        <v>75.408163265306115</v>
      </c>
      <c r="S141" s="9">
        <v>1.4913342141495152E-2</v>
      </c>
      <c r="T141" s="7" t="s">
        <v>28</v>
      </c>
      <c r="U141" t="s">
        <v>29</v>
      </c>
    </row>
    <row r="142" spans="1:21" x14ac:dyDescent="0.3">
      <c r="A142">
        <v>36</v>
      </c>
      <c r="B142" t="s">
        <v>71</v>
      </c>
      <c r="C142">
        <v>10861</v>
      </c>
      <c r="D142">
        <v>64</v>
      </c>
      <c r="E142">
        <v>45</v>
      </c>
      <c r="F142">
        <v>528</v>
      </c>
      <c r="G142">
        <v>23</v>
      </c>
      <c r="H142">
        <v>10</v>
      </c>
      <c r="I142">
        <v>15</v>
      </c>
      <c r="J142">
        <v>12</v>
      </c>
      <c r="K142" s="6">
        <v>69.693877551020407</v>
      </c>
      <c r="L142" s="7" t="s">
        <v>32</v>
      </c>
      <c r="M142">
        <v>16</v>
      </c>
      <c r="N142" s="8">
        <v>5.8926434030015656E-3</v>
      </c>
      <c r="O142" s="9">
        <v>4.1432648927354756E-3</v>
      </c>
      <c r="P142" s="9">
        <v>4.8614308074762913E-2</v>
      </c>
      <c r="Q142" s="10">
        <v>1.7125494889973298</v>
      </c>
      <c r="R142" s="6">
        <v>30.306122448979593</v>
      </c>
      <c r="S142" s="9">
        <v>2.0125970303029182E-2</v>
      </c>
      <c r="T142" s="7" t="s">
        <v>41</v>
      </c>
      <c r="U142" t="s">
        <v>29</v>
      </c>
    </row>
    <row r="143" spans="1:21" x14ac:dyDescent="0.3">
      <c r="A143">
        <v>37</v>
      </c>
      <c r="B143" t="s">
        <v>72</v>
      </c>
      <c r="C143">
        <v>14820</v>
      </c>
      <c r="D143">
        <v>17</v>
      </c>
      <c r="E143">
        <v>19</v>
      </c>
      <c r="F143">
        <v>158</v>
      </c>
      <c r="G143">
        <v>9</v>
      </c>
      <c r="H143">
        <v>37</v>
      </c>
      <c r="I143">
        <v>37</v>
      </c>
      <c r="J143">
        <v>41</v>
      </c>
      <c r="K143" s="6">
        <v>45.306122448979593</v>
      </c>
      <c r="L143" s="7" t="s">
        <v>39</v>
      </c>
      <c r="M143">
        <v>31</v>
      </c>
      <c r="N143" s="8">
        <v>1.147098515519568E-3</v>
      </c>
      <c r="O143" s="9">
        <v>1.2820512820512821E-3</v>
      </c>
      <c r="P143" s="9">
        <v>1.0661268556005398E-2</v>
      </c>
      <c r="Q143" s="10">
        <v>0.42847503373819162</v>
      </c>
      <c r="R143" s="6">
        <v>54.693877551020407</v>
      </c>
      <c r="S143" s="9">
        <v>2.7462193158170743E-2</v>
      </c>
      <c r="T143" s="7" t="s">
        <v>32</v>
      </c>
      <c r="U143" t="s">
        <v>29</v>
      </c>
    </row>
    <row r="144" spans="1:21" x14ac:dyDescent="0.3">
      <c r="A144">
        <v>38</v>
      </c>
      <c r="B144" t="s">
        <v>73</v>
      </c>
      <c r="C144">
        <v>10147</v>
      </c>
      <c r="D144">
        <v>19</v>
      </c>
      <c r="E144">
        <v>24</v>
      </c>
      <c r="F144">
        <v>312</v>
      </c>
      <c r="G144">
        <v>28</v>
      </c>
      <c r="H144">
        <v>35</v>
      </c>
      <c r="I144">
        <v>31</v>
      </c>
      <c r="J144">
        <v>27</v>
      </c>
      <c r="K144" s="6">
        <v>39.693877551020407</v>
      </c>
      <c r="L144" s="7" t="s">
        <v>28</v>
      </c>
      <c r="M144">
        <v>34</v>
      </c>
      <c r="N144" s="8">
        <v>1.8724746230412931E-3</v>
      </c>
      <c r="O144" s="9">
        <v>2.3652311027890015E-3</v>
      </c>
      <c r="P144" s="9">
        <v>3.0748004336257021E-2</v>
      </c>
      <c r="Q144" s="10">
        <v>0.75391741401399426</v>
      </c>
      <c r="R144" s="6">
        <v>60.306122448979593</v>
      </c>
      <c r="S144" s="9">
        <v>1.8802892980833909E-2</v>
      </c>
      <c r="T144" s="7" t="s">
        <v>28</v>
      </c>
      <c r="U144" t="s">
        <v>29</v>
      </c>
    </row>
    <row r="145" spans="1:21" x14ac:dyDescent="0.3">
      <c r="A145">
        <v>39</v>
      </c>
      <c r="B145" t="s">
        <v>74</v>
      </c>
      <c r="C145">
        <v>23152</v>
      </c>
      <c r="D145">
        <v>42</v>
      </c>
      <c r="E145">
        <v>35</v>
      </c>
      <c r="F145">
        <v>519</v>
      </c>
      <c r="G145">
        <v>2</v>
      </c>
      <c r="H145">
        <v>19</v>
      </c>
      <c r="I145">
        <v>22</v>
      </c>
      <c r="J145">
        <v>13</v>
      </c>
      <c r="K145" s="6">
        <v>76.020408163265301</v>
      </c>
      <c r="L145" s="7" t="s">
        <v>32</v>
      </c>
      <c r="M145">
        <v>7</v>
      </c>
      <c r="N145" s="8">
        <v>1.8140981340704907E-3</v>
      </c>
      <c r="O145" s="9">
        <v>1.5117484450587423E-3</v>
      </c>
      <c r="P145" s="9">
        <v>2.2417069799585351E-2</v>
      </c>
      <c r="Q145" s="10">
        <v>0.574464409122322</v>
      </c>
      <c r="R145" s="6">
        <v>23.979591836734699</v>
      </c>
      <c r="S145" s="9">
        <v>4.2901801349390624E-2</v>
      </c>
      <c r="T145" s="7" t="s">
        <v>32</v>
      </c>
      <c r="U145" t="s">
        <v>35</v>
      </c>
    </row>
    <row r="146" spans="1:21" x14ac:dyDescent="0.3">
      <c r="A146">
        <v>40</v>
      </c>
      <c r="B146" t="s">
        <v>75</v>
      </c>
      <c r="C146">
        <v>12586</v>
      </c>
      <c r="D146">
        <v>47</v>
      </c>
      <c r="E146">
        <v>61</v>
      </c>
      <c r="F146">
        <v>463</v>
      </c>
      <c r="G146">
        <v>15</v>
      </c>
      <c r="H146">
        <v>14</v>
      </c>
      <c r="I146">
        <v>5</v>
      </c>
      <c r="J146">
        <v>16</v>
      </c>
      <c r="K146" s="6">
        <v>75.81632653061223</v>
      </c>
      <c r="L146" s="7" t="s">
        <v>32</v>
      </c>
      <c r="M146">
        <v>8</v>
      </c>
      <c r="N146" s="8">
        <v>3.7343079612267597E-3</v>
      </c>
      <c r="O146" s="9">
        <v>4.8466550135070714E-3</v>
      </c>
      <c r="P146" s="9">
        <v>3.6786906086127447E-2</v>
      </c>
      <c r="Q146" s="10">
        <v>1.5294771968854282</v>
      </c>
      <c r="R146" s="6">
        <v>24.18367346938777</v>
      </c>
      <c r="S146" s="9">
        <v>2.3322480640265653E-2</v>
      </c>
      <c r="T146" s="7" t="s">
        <v>41</v>
      </c>
      <c r="U146" t="s">
        <v>29</v>
      </c>
    </row>
    <row r="147" spans="1:21" x14ac:dyDescent="0.3">
      <c r="A147">
        <v>41</v>
      </c>
      <c r="B147" t="s">
        <v>76</v>
      </c>
      <c r="C147">
        <v>1</v>
      </c>
      <c r="D147">
        <v>0</v>
      </c>
      <c r="E147">
        <v>0</v>
      </c>
      <c r="F147">
        <v>0</v>
      </c>
      <c r="G147">
        <v>50</v>
      </c>
      <c r="H147">
        <v>49</v>
      </c>
      <c r="I147">
        <v>49</v>
      </c>
      <c r="J147">
        <v>48</v>
      </c>
      <c r="K147" s="6">
        <v>1.6326530612244916</v>
      </c>
      <c r="L147" s="7" t="s">
        <v>28</v>
      </c>
      <c r="M147">
        <v>50</v>
      </c>
      <c r="N147" s="8">
        <v>0</v>
      </c>
      <c r="O147" s="9">
        <v>0</v>
      </c>
      <c r="P147" s="9">
        <v>0</v>
      </c>
      <c r="Q147" s="10">
        <v>0</v>
      </c>
      <c r="R147" s="6">
        <v>98.367346938775512</v>
      </c>
      <c r="S147" s="9">
        <v>1.8530494708617236E-6</v>
      </c>
      <c r="T147" s="7" t="s">
        <v>28</v>
      </c>
      <c r="U147" t="s">
        <v>29</v>
      </c>
    </row>
    <row r="148" spans="1:21" x14ac:dyDescent="0.3">
      <c r="A148">
        <v>42</v>
      </c>
      <c r="B148" t="s">
        <v>77</v>
      </c>
      <c r="C148">
        <v>381</v>
      </c>
      <c r="D148">
        <v>0</v>
      </c>
      <c r="E148">
        <v>0</v>
      </c>
      <c r="F148">
        <v>0</v>
      </c>
      <c r="G148">
        <v>49</v>
      </c>
      <c r="H148">
        <v>49</v>
      </c>
      <c r="I148">
        <v>49</v>
      </c>
      <c r="J148">
        <v>48</v>
      </c>
      <c r="K148" s="6">
        <v>2.3469387755102069</v>
      </c>
      <c r="L148" s="7" t="s">
        <v>28</v>
      </c>
      <c r="M148">
        <v>49</v>
      </c>
      <c r="N148" s="8">
        <v>0</v>
      </c>
      <c r="O148" s="9">
        <v>0</v>
      </c>
      <c r="P148" s="9">
        <v>0</v>
      </c>
      <c r="Q148" s="10">
        <v>0</v>
      </c>
      <c r="R148" s="6">
        <v>97.65306122448979</v>
      </c>
      <c r="S148" s="9">
        <v>7.0601184839831665E-4</v>
      </c>
      <c r="T148" s="7" t="s">
        <v>28</v>
      </c>
      <c r="U148" t="s">
        <v>29</v>
      </c>
    </row>
    <row r="149" spans="1:21" x14ac:dyDescent="0.3">
      <c r="A149">
        <v>43</v>
      </c>
      <c r="B149" t="s">
        <v>78</v>
      </c>
      <c r="C149">
        <v>11108</v>
      </c>
      <c r="D149">
        <v>20</v>
      </c>
      <c r="E149">
        <v>31</v>
      </c>
      <c r="F149">
        <v>392</v>
      </c>
      <c r="G149">
        <v>20</v>
      </c>
      <c r="H149">
        <v>34</v>
      </c>
      <c r="I149">
        <v>25</v>
      </c>
      <c r="J149">
        <v>21</v>
      </c>
      <c r="K149" s="6">
        <v>50.306122448979593</v>
      </c>
      <c r="L149" s="7" t="s">
        <v>39</v>
      </c>
      <c r="M149">
        <v>29</v>
      </c>
      <c r="N149" s="8">
        <v>1.8005041411595247E-3</v>
      </c>
      <c r="O149" s="9">
        <v>2.7907814187972634E-3</v>
      </c>
      <c r="P149" s="9">
        <v>3.5289881166726683E-2</v>
      </c>
      <c r="Q149" s="10">
        <v>0.82823190493338128</v>
      </c>
      <c r="R149" s="6">
        <v>49.693877551020407</v>
      </c>
      <c r="S149" s="9">
        <v>2.0583673522332025E-2</v>
      </c>
      <c r="T149" s="7" t="s">
        <v>41</v>
      </c>
      <c r="U149" t="s">
        <v>44</v>
      </c>
    </row>
    <row r="150" spans="1:21" x14ac:dyDescent="0.3">
      <c r="A150">
        <v>44</v>
      </c>
      <c r="B150" t="s">
        <v>79</v>
      </c>
      <c r="C150">
        <v>11047</v>
      </c>
      <c r="D150">
        <v>114</v>
      </c>
      <c r="E150">
        <v>23</v>
      </c>
      <c r="F150">
        <v>286</v>
      </c>
      <c r="G150">
        <v>21</v>
      </c>
      <c r="H150">
        <v>3</v>
      </c>
      <c r="I150">
        <v>33</v>
      </c>
      <c r="J150">
        <v>31</v>
      </c>
      <c r="K150" s="6">
        <v>62.244897959183675</v>
      </c>
      <c r="L150" s="7" t="s">
        <v>32</v>
      </c>
      <c r="M150">
        <v>19</v>
      </c>
      <c r="N150" s="8">
        <v>1.0319543767538698E-2</v>
      </c>
      <c r="O150" s="9">
        <v>2.0820132162578074E-3</v>
      </c>
      <c r="P150" s="9">
        <v>2.5889381732597087E-2</v>
      </c>
      <c r="Q150" s="10">
        <v>1.9643342083823661</v>
      </c>
      <c r="R150" s="6">
        <v>37.755102040816325</v>
      </c>
      <c r="S150" s="9">
        <v>2.0470637504609462E-2</v>
      </c>
      <c r="T150" s="7" t="s">
        <v>41</v>
      </c>
      <c r="U150" t="s">
        <v>29</v>
      </c>
    </row>
    <row r="151" spans="1:21" x14ac:dyDescent="0.3">
      <c r="A151">
        <v>45</v>
      </c>
      <c r="B151" t="s">
        <v>80</v>
      </c>
      <c r="C151">
        <v>7615</v>
      </c>
      <c r="D151">
        <v>12</v>
      </c>
      <c r="E151">
        <v>22</v>
      </c>
      <c r="F151">
        <v>263</v>
      </c>
      <c r="G151">
        <v>40</v>
      </c>
      <c r="H151">
        <v>43</v>
      </c>
      <c r="I151">
        <v>35</v>
      </c>
      <c r="J151">
        <v>33</v>
      </c>
      <c r="K151" s="6">
        <v>22.755102040816329</v>
      </c>
      <c r="L151" s="7" t="s">
        <v>28</v>
      </c>
      <c r="M151">
        <v>43</v>
      </c>
      <c r="N151" s="8">
        <v>1.5758371634931056E-3</v>
      </c>
      <c r="O151" s="9">
        <v>2.8890347997373605E-3</v>
      </c>
      <c r="P151" s="9">
        <v>3.4537097833223902E-2</v>
      </c>
      <c r="Q151" s="10">
        <v>0.81418253447143785</v>
      </c>
      <c r="R151" s="6">
        <v>77.244897959183675</v>
      </c>
      <c r="S151" s="9">
        <v>1.4110971720612025E-2</v>
      </c>
      <c r="T151" s="7" t="s">
        <v>28</v>
      </c>
      <c r="U151" t="s">
        <v>29</v>
      </c>
    </row>
    <row r="152" spans="1:21" x14ac:dyDescent="0.3">
      <c r="A152">
        <v>46</v>
      </c>
      <c r="B152" t="s">
        <v>81</v>
      </c>
      <c r="C152">
        <v>7928</v>
      </c>
      <c r="D152">
        <v>14</v>
      </c>
      <c r="E152">
        <v>19</v>
      </c>
      <c r="F152">
        <v>198</v>
      </c>
      <c r="G152">
        <v>36</v>
      </c>
      <c r="H152">
        <v>41</v>
      </c>
      <c r="I152">
        <v>37</v>
      </c>
      <c r="J152">
        <v>38</v>
      </c>
      <c r="K152" s="6">
        <v>24.489795918367346</v>
      </c>
      <c r="L152" s="7" t="s">
        <v>28</v>
      </c>
      <c r="M152">
        <v>40</v>
      </c>
      <c r="N152" s="8">
        <v>1.7658930373360242E-3</v>
      </c>
      <c r="O152" s="9">
        <v>2.3965691220988899E-3</v>
      </c>
      <c r="P152" s="9">
        <v>2.4974772956609485E-2</v>
      </c>
      <c r="Q152" s="10">
        <v>0.74419778002018155</v>
      </c>
      <c r="R152" s="6">
        <v>75.510204081632651</v>
      </c>
      <c r="S152" s="9">
        <v>1.4690976204991745E-2</v>
      </c>
      <c r="T152" s="7" t="s">
        <v>28</v>
      </c>
      <c r="U152" t="s">
        <v>29</v>
      </c>
    </row>
    <row r="153" spans="1:21" x14ac:dyDescent="0.3">
      <c r="A153">
        <v>47</v>
      </c>
      <c r="B153" t="s">
        <v>82</v>
      </c>
      <c r="C153">
        <v>7778</v>
      </c>
      <c r="D153">
        <v>74</v>
      </c>
      <c r="E153">
        <v>39</v>
      </c>
      <c r="F153">
        <v>232</v>
      </c>
      <c r="G153">
        <v>38</v>
      </c>
      <c r="H153">
        <v>7</v>
      </c>
      <c r="I153">
        <v>17</v>
      </c>
      <c r="J153">
        <v>35</v>
      </c>
      <c r="K153" s="6">
        <v>52.95918367346939</v>
      </c>
      <c r="L153" s="7" t="s">
        <v>39</v>
      </c>
      <c r="M153">
        <v>25</v>
      </c>
      <c r="N153" s="8">
        <v>9.5140138853175623E-3</v>
      </c>
      <c r="O153" s="9">
        <v>5.0141424530727695E-3</v>
      </c>
      <c r="P153" s="9">
        <v>2.9827719208022629E-2</v>
      </c>
      <c r="Q153" s="10">
        <v>2.4299305734121881</v>
      </c>
      <c r="R153" s="6">
        <v>47.04081632653061</v>
      </c>
      <c r="S153" s="9">
        <v>1.4413018784362486E-2</v>
      </c>
      <c r="T153" s="7" t="s">
        <v>28</v>
      </c>
      <c r="U153" t="s">
        <v>29</v>
      </c>
    </row>
    <row r="154" spans="1:21" x14ac:dyDescent="0.3">
      <c r="A154">
        <v>48</v>
      </c>
      <c r="B154" t="s">
        <v>83</v>
      </c>
      <c r="C154">
        <v>7315</v>
      </c>
      <c r="D154">
        <v>71</v>
      </c>
      <c r="E154">
        <v>10</v>
      </c>
      <c r="F154">
        <v>146</v>
      </c>
      <c r="G154">
        <v>41</v>
      </c>
      <c r="H154">
        <v>8</v>
      </c>
      <c r="I154">
        <v>45</v>
      </c>
      <c r="J154">
        <v>43</v>
      </c>
      <c r="K154" s="6">
        <v>36.326530612244902</v>
      </c>
      <c r="L154" s="7" t="s">
        <v>28</v>
      </c>
      <c r="M154">
        <v>36</v>
      </c>
      <c r="N154" s="8">
        <v>9.706083390293916E-3</v>
      </c>
      <c r="O154" s="9">
        <v>1.3670539986329461E-3</v>
      </c>
      <c r="P154" s="9">
        <v>1.9958988380041013E-2</v>
      </c>
      <c r="Q154" s="10">
        <v>1.7293233082706767</v>
      </c>
      <c r="R154" s="6">
        <v>63.673469387755098</v>
      </c>
      <c r="S154" s="9">
        <v>1.3555056879353508E-2</v>
      </c>
      <c r="T154" s="7" t="s">
        <v>28</v>
      </c>
      <c r="U154" t="s">
        <v>29</v>
      </c>
    </row>
    <row r="155" spans="1:21" x14ac:dyDescent="0.3">
      <c r="A155">
        <v>49</v>
      </c>
      <c r="B155" t="s">
        <v>84</v>
      </c>
      <c r="C155">
        <v>15869</v>
      </c>
      <c r="D155">
        <v>24</v>
      </c>
      <c r="E155">
        <v>57</v>
      </c>
      <c r="F155">
        <v>420</v>
      </c>
      <c r="G155">
        <v>6</v>
      </c>
      <c r="H155">
        <v>31</v>
      </c>
      <c r="I155">
        <v>7</v>
      </c>
      <c r="J155">
        <v>19</v>
      </c>
      <c r="K155" s="6">
        <v>70.102040816326536</v>
      </c>
      <c r="L155" s="7" t="s">
        <v>32</v>
      </c>
      <c r="M155">
        <v>14</v>
      </c>
      <c r="N155" s="8">
        <v>1.5123826328060999E-3</v>
      </c>
      <c r="O155" s="9">
        <v>3.5919087529144873E-3</v>
      </c>
      <c r="P155" s="9">
        <v>2.646669607410675E-2</v>
      </c>
      <c r="Q155" s="10">
        <v>0.94523914550381249</v>
      </c>
      <c r="R155" s="6">
        <v>29.897959183673464</v>
      </c>
      <c r="S155" s="9">
        <v>2.9406042053104691E-2</v>
      </c>
      <c r="T155" s="7" t="s">
        <v>32</v>
      </c>
      <c r="U155" t="s">
        <v>35</v>
      </c>
    </row>
    <row r="156" spans="1:21" x14ac:dyDescent="0.3">
      <c r="A156">
        <v>50</v>
      </c>
      <c r="B156" t="s">
        <v>85</v>
      </c>
      <c r="C156">
        <v>12625</v>
      </c>
      <c r="D156">
        <v>38</v>
      </c>
      <c r="E156">
        <v>50</v>
      </c>
      <c r="F156">
        <v>489</v>
      </c>
      <c r="K156" s="6"/>
      <c r="N156" s="8"/>
      <c r="O156" s="9"/>
      <c r="P156" s="9"/>
      <c r="Q156" s="10"/>
      <c r="R156" s="6"/>
      <c r="S156" s="9"/>
      <c r="T156" s="7"/>
    </row>
    <row r="157" spans="1:21" x14ac:dyDescent="0.3">
      <c r="B157" t="s">
        <v>87</v>
      </c>
      <c r="C157">
        <v>539651</v>
      </c>
      <c r="D157">
        <v>1997</v>
      </c>
      <c r="E157">
        <v>1681</v>
      </c>
      <c r="F157">
        <v>17520</v>
      </c>
      <c r="G157">
        <v>14</v>
      </c>
      <c r="H157">
        <v>21</v>
      </c>
      <c r="I157">
        <v>11</v>
      </c>
      <c r="J157">
        <v>15</v>
      </c>
      <c r="K157" s="6">
        <v>70.102040816326536</v>
      </c>
      <c r="L157" s="7" t="s">
        <v>32</v>
      </c>
      <c r="M157">
        <v>14</v>
      </c>
      <c r="N157" s="8">
        <v>3.00990099009901E-3</v>
      </c>
      <c r="O157" s="9">
        <v>3.9603960396039604E-3</v>
      </c>
      <c r="P157" s="9">
        <v>3.8732673267326732E-2</v>
      </c>
      <c r="Q157" s="10">
        <v>1.2435643564356436</v>
      </c>
      <c r="R157" s="6">
        <v>29.897959183673464</v>
      </c>
      <c r="S157" s="9">
        <v>2.339474956962926E-2</v>
      </c>
      <c r="T157" s="7" t="s">
        <v>41</v>
      </c>
      <c r="U157" t="s">
        <v>29</v>
      </c>
    </row>
  </sheetData>
  <mergeCells count="6">
    <mergeCell ref="T3:U4"/>
    <mergeCell ref="A1:D2"/>
    <mergeCell ref="A3:F4"/>
    <mergeCell ref="G3:J4"/>
    <mergeCell ref="K3:M4"/>
    <mergeCell ref="N3:S4"/>
  </mergeCells>
  <conditionalFormatting sqref="C6:C5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7:C15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6:K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7:K15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55 M107:M157">
    <cfRule type="cellIs" dxfId="0" priority="1" operator="lessThan">
      <formula>25.5</formula>
    </cfRule>
  </conditionalFormatting>
  <conditionalFormatting sqref="R6:R55">
    <cfRule type="colorScale" priority="8">
      <colorScale>
        <cfvo type="min"/>
        <cfvo type="max"/>
        <color rgb="FFFCFCFF"/>
        <color rgb="FF63BE7B"/>
      </colorScale>
    </cfRule>
  </conditionalFormatting>
  <conditionalFormatting sqref="R107:R157">
    <cfRule type="colorScale" priority="4">
      <colorScale>
        <cfvo type="min"/>
        <cfvo type="max"/>
        <color rgb="FFFCFCFF"/>
        <color rgb="FF63BE7B"/>
      </colorScale>
    </cfRule>
  </conditionalFormatting>
  <conditionalFormatting sqref="S6:S55">
    <cfRule type="colorScale" priority="9">
      <colorScale>
        <cfvo type="min"/>
        <cfvo type="max"/>
        <color rgb="FFFCFCFF"/>
        <color rgb="FFF8696B"/>
      </colorScale>
    </cfRule>
  </conditionalFormatting>
  <conditionalFormatting sqref="S107:S157">
    <cfRule type="colorScale" priority="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A45D-A632-4105-8ABD-624090A72535}">
  <dimension ref="B2:AA56"/>
  <sheetViews>
    <sheetView topLeftCell="A7" workbookViewId="0">
      <selection activeCell="I1" sqref="I1"/>
    </sheetView>
  </sheetViews>
  <sheetFormatPr defaultRowHeight="14.4" x14ac:dyDescent="0.3"/>
  <cols>
    <col min="1" max="2" width="7.5546875" bestFit="1" customWidth="1"/>
    <col min="3" max="3" width="16" bestFit="1" customWidth="1"/>
    <col min="4" max="4" width="12.44140625" bestFit="1" customWidth="1"/>
    <col min="5" max="5" width="14.88671875" bestFit="1" customWidth="1"/>
    <col min="6" max="6" width="15" bestFit="1" customWidth="1"/>
    <col min="7" max="7" width="26" bestFit="1" customWidth="1"/>
    <col min="11" max="11" width="14.33203125" customWidth="1"/>
    <col min="12" max="12" width="12.44140625" bestFit="1" customWidth="1"/>
    <col min="17" max="17" width="12.6640625" bestFit="1" customWidth="1"/>
    <col min="22" max="22" width="15" bestFit="1" customWidth="1"/>
    <col min="25" max="25" width="7.5546875" bestFit="1" customWidth="1"/>
    <col min="26" max="26" width="16" bestFit="1" customWidth="1"/>
    <col min="27" max="27" width="26" bestFit="1" customWidth="1"/>
  </cols>
  <sheetData>
    <row r="2" spans="2:27" ht="14.4" customHeight="1" x14ac:dyDescent="0.3">
      <c r="B2" s="21" t="s">
        <v>88</v>
      </c>
      <c r="C2" s="21"/>
      <c r="D2" s="21"/>
      <c r="E2" s="21"/>
      <c r="F2" s="21"/>
      <c r="G2" s="21"/>
      <c r="J2" s="21" t="s">
        <v>89</v>
      </c>
      <c r="K2" s="21"/>
      <c r="L2" s="21"/>
      <c r="O2" s="21" t="s">
        <v>90</v>
      </c>
      <c r="P2" s="21"/>
      <c r="Q2" s="21"/>
      <c r="T2" s="21" t="s">
        <v>91</v>
      </c>
      <c r="U2" s="21"/>
      <c r="V2" s="21"/>
      <c r="Y2" s="21" t="s">
        <v>92</v>
      </c>
      <c r="Z2" s="21"/>
      <c r="AA2" s="21"/>
    </row>
    <row r="3" spans="2:27" x14ac:dyDescent="0.3">
      <c r="B3" s="21"/>
      <c r="C3" s="21"/>
      <c r="D3" s="21"/>
      <c r="E3" s="21"/>
      <c r="F3" s="21"/>
      <c r="G3" s="21"/>
      <c r="J3" s="21"/>
      <c r="K3" s="21"/>
      <c r="L3" s="21"/>
      <c r="O3" s="21"/>
      <c r="P3" s="21"/>
      <c r="Q3" s="21"/>
      <c r="T3" s="21"/>
      <c r="U3" s="21"/>
      <c r="V3" s="21"/>
      <c r="Y3" s="21"/>
      <c r="Z3" s="21"/>
      <c r="AA3" s="21"/>
    </row>
    <row r="4" spans="2:27" x14ac:dyDescent="0.3">
      <c r="B4" s="11"/>
    </row>
    <row r="5" spans="2:27" x14ac:dyDescent="0.3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J5" t="s">
        <v>6</v>
      </c>
      <c r="K5" t="s">
        <v>7</v>
      </c>
      <c r="L5" t="s">
        <v>8</v>
      </c>
      <c r="O5" s="12" t="s">
        <v>6</v>
      </c>
      <c r="P5" s="13" t="s">
        <v>7</v>
      </c>
      <c r="Q5" s="14" t="s">
        <v>9</v>
      </c>
      <c r="T5" t="s">
        <v>6</v>
      </c>
      <c r="U5" t="s">
        <v>93</v>
      </c>
      <c r="V5" t="s">
        <v>10</v>
      </c>
      <c r="Y5" t="s">
        <v>6</v>
      </c>
      <c r="Z5" t="s">
        <v>7</v>
      </c>
      <c r="AA5" t="s">
        <v>11</v>
      </c>
    </row>
    <row r="6" spans="2:27" x14ac:dyDescent="0.3">
      <c r="B6">
        <v>1</v>
      </c>
      <c r="C6" t="s">
        <v>27</v>
      </c>
      <c r="D6">
        <v>4375</v>
      </c>
      <c r="E6">
        <v>15</v>
      </c>
      <c r="F6">
        <v>16</v>
      </c>
      <c r="G6">
        <v>183</v>
      </c>
      <c r="J6">
        <v>1</v>
      </c>
      <c r="K6" t="s">
        <v>27</v>
      </c>
      <c r="L6">
        <v>4375</v>
      </c>
      <c r="O6" s="15">
        <v>1</v>
      </c>
      <c r="P6" s="16" t="s">
        <v>27</v>
      </c>
      <c r="Q6" s="17">
        <v>15</v>
      </c>
      <c r="T6">
        <v>1</v>
      </c>
      <c r="U6" t="s">
        <v>27</v>
      </c>
      <c r="V6">
        <v>16</v>
      </c>
      <c r="Y6">
        <v>1</v>
      </c>
      <c r="Z6" t="s">
        <v>27</v>
      </c>
      <c r="AA6">
        <v>183</v>
      </c>
    </row>
    <row r="7" spans="2:27" x14ac:dyDescent="0.3">
      <c r="B7">
        <v>2</v>
      </c>
      <c r="C7" t="s">
        <v>30</v>
      </c>
      <c r="D7">
        <v>36502</v>
      </c>
      <c r="E7">
        <v>181</v>
      </c>
      <c r="F7">
        <v>105</v>
      </c>
      <c r="G7">
        <v>499</v>
      </c>
      <c r="J7">
        <v>2</v>
      </c>
      <c r="K7" t="s">
        <v>30</v>
      </c>
      <c r="L7">
        <v>36502</v>
      </c>
      <c r="O7" s="18">
        <v>2</v>
      </c>
      <c r="P7" s="19" t="s">
        <v>30</v>
      </c>
      <c r="Q7" s="20">
        <v>181</v>
      </c>
      <c r="T7">
        <v>2</v>
      </c>
      <c r="U7" t="s">
        <v>30</v>
      </c>
      <c r="V7">
        <v>105</v>
      </c>
      <c r="Y7">
        <v>2</v>
      </c>
      <c r="Z7" t="s">
        <v>30</v>
      </c>
      <c r="AA7">
        <v>499</v>
      </c>
    </row>
    <row r="8" spans="2:27" x14ac:dyDescent="0.3">
      <c r="B8">
        <v>3</v>
      </c>
      <c r="C8" t="s">
        <v>34</v>
      </c>
      <c r="D8">
        <v>13791</v>
      </c>
      <c r="E8">
        <v>18</v>
      </c>
      <c r="F8">
        <v>52</v>
      </c>
      <c r="G8">
        <v>711</v>
      </c>
      <c r="J8">
        <v>3</v>
      </c>
      <c r="K8" t="s">
        <v>34</v>
      </c>
      <c r="L8">
        <v>13791</v>
      </c>
      <c r="O8" s="15">
        <v>3</v>
      </c>
      <c r="P8" s="16" t="s">
        <v>34</v>
      </c>
      <c r="Q8" s="17">
        <v>18</v>
      </c>
      <c r="T8">
        <v>3</v>
      </c>
      <c r="U8" t="s">
        <v>34</v>
      </c>
      <c r="V8">
        <v>52</v>
      </c>
      <c r="Y8">
        <v>3</v>
      </c>
      <c r="Z8" t="s">
        <v>34</v>
      </c>
      <c r="AA8">
        <v>711</v>
      </c>
    </row>
    <row r="9" spans="2:27" x14ac:dyDescent="0.3">
      <c r="B9">
        <v>4</v>
      </c>
      <c r="C9" t="s">
        <v>36</v>
      </c>
      <c r="D9">
        <v>8812</v>
      </c>
      <c r="E9">
        <v>29</v>
      </c>
      <c r="F9">
        <v>22</v>
      </c>
      <c r="G9">
        <v>298</v>
      </c>
      <c r="J9">
        <v>4</v>
      </c>
      <c r="K9" t="s">
        <v>36</v>
      </c>
      <c r="L9">
        <v>8812</v>
      </c>
      <c r="O9" s="18">
        <v>4</v>
      </c>
      <c r="P9" s="19" t="s">
        <v>36</v>
      </c>
      <c r="Q9" s="20">
        <v>29</v>
      </c>
      <c r="T9">
        <v>4</v>
      </c>
      <c r="U9" t="s">
        <v>36</v>
      </c>
      <c r="V9">
        <v>22</v>
      </c>
      <c r="Y9">
        <v>4</v>
      </c>
      <c r="Z9" t="s">
        <v>36</v>
      </c>
      <c r="AA9">
        <v>298</v>
      </c>
    </row>
    <row r="10" spans="2:27" x14ac:dyDescent="0.3">
      <c r="B10">
        <v>5</v>
      </c>
      <c r="C10" t="s">
        <v>37</v>
      </c>
      <c r="D10">
        <v>18923</v>
      </c>
      <c r="E10">
        <v>51</v>
      </c>
      <c r="F10">
        <v>52</v>
      </c>
      <c r="G10">
        <v>541</v>
      </c>
      <c r="J10">
        <v>5</v>
      </c>
      <c r="K10" t="s">
        <v>37</v>
      </c>
      <c r="L10">
        <v>18923</v>
      </c>
      <c r="O10" s="15">
        <v>5</v>
      </c>
      <c r="P10" s="16" t="s">
        <v>37</v>
      </c>
      <c r="Q10" s="17">
        <v>51</v>
      </c>
      <c r="T10">
        <v>5</v>
      </c>
      <c r="U10" t="s">
        <v>37</v>
      </c>
      <c r="V10">
        <v>52</v>
      </c>
      <c r="Y10">
        <v>5</v>
      </c>
      <c r="Z10" t="s">
        <v>37</v>
      </c>
      <c r="AA10">
        <v>541</v>
      </c>
    </row>
    <row r="11" spans="2:27" x14ac:dyDescent="0.3">
      <c r="B11">
        <v>6</v>
      </c>
      <c r="C11" t="s">
        <v>38</v>
      </c>
      <c r="D11">
        <v>8513</v>
      </c>
      <c r="E11">
        <v>35</v>
      </c>
      <c r="F11">
        <v>23</v>
      </c>
      <c r="G11">
        <v>341</v>
      </c>
      <c r="J11">
        <v>6</v>
      </c>
      <c r="K11" t="s">
        <v>38</v>
      </c>
      <c r="L11">
        <v>8513</v>
      </c>
      <c r="O11" s="18">
        <v>6</v>
      </c>
      <c r="P11" s="19" t="s">
        <v>38</v>
      </c>
      <c r="Q11" s="20">
        <v>35</v>
      </c>
      <c r="T11">
        <v>6</v>
      </c>
      <c r="U11" t="s">
        <v>38</v>
      </c>
      <c r="V11">
        <v>23</v>
      </c>
      <c r="Y11">
        <v>6</v>
      </c>
      <c r="Z11" t="s">
        <v>38</v>
      </c>
      <c r="AA11">
        <v>341</v>
      </c>
    </row>
    <row r="12" spans="2:27" x14ac:dyDescent="0.3">
      <c r="B12">
        <v>7</v>
      </c>
      <c r="C12" t="s">
        <v>40</v>
      </c>
      <c r="D12">
        <v>11472</v>
      </c>
      <c r="E12">
        <v>42</v>
      </c>
      <c r="F12">
        <v>62</v>
      </c>
      <c r="G12">
        <v>730</v>
      </c>
      <c r="J12">
        <v>7</v>
      </c>
      <c r="K12" t="s">
        <v>40</v>
      </c>
      <c r="L12">
        <v>11472</v>
      </c>
      <c r="O12" s="15">
        <v>7</v>
      </c>
      <c r="P12" s="16" t="s">
        <v>40</v>
      </c>
      <c r="Q12" s="17">
        <v>42</v>
      </c>
      <c r="T12">
        <v>7</v>
      </c>
      <c r="U12" t="s">
        <v>40</v>
      </c>
      <c r="V12">
        <v>62</v>
      </c>
      <c r="Y12">
        <v>7</v>
      </c>
      <c r="Z12" t="s">
        <v>40</v>
      </c>
      <c r="AA12">
        <v>730</v>
      </c>
    </row>
    <row r="13" spans="2:27" x14ac:dyDescent="0.3">
      <c r="B13">
        <v>8</v>
      </c>
      <c r="C13" t="s">
        <v>42</v>
      </c>
      <c r="D13">
        <v>9925</v>
      </c>
      <c r="E13">
        <v>25</v>
      </c>
      <c r="F13">
        <v>37</v>
      </c>
      <c r="G13">
        <v>659</v>
      </c>
      <c r="J13">
        <v>8</v>
      </c>
      <c r="K13" t="s">
        <v>42</v>
      </c>
      <c r="L13">
        <v>9925</v>
      </c>
      <c r="O13" s="18">
        <v>8</v>
      </c>
      <c r="P13" s="19" t="s">
        <v>42</v>
      </c>
      <c r="Q13" s="20">
        <v>25</v>
      </c>
      <c r="T13">
        <v>8</v>
      </c>
      <c r="U13" t="s">
        <v>42</v>
      </c>
      <c r="V13">
        <v>37</v>
      </c>
      <c r="Y13">
        <v>8</v>
      </c>
      <c r="Z13" t="s">
        <v>42</v>
      </c>
      <c r="AA13">
        <v>659</v>
      </c>
    </row>
    <row r="14" spans="2:27" x14ac:dyDescent="0.3">
      <c r="B14">
        <v>9</v>
      </c>
      <c r="C14" t="s">
        <v>43</v>
      </c>
      <c r="D14">
        <v>10782</v>
      </c>
      <c r="E14">
        <v>15</v>
      </c>
      <c r="F14">
        <v>36</v>
      </c>
      <c r="G14">
        <v>288</v>
      </c>
      <c r="J14">
        <v>9</v>
      </c>
      <c r="K14" t="s">
        <v>43</v>
      </c>
      <c r="L14">
        <v>10782</v>
      </c>
      <c r="O14" s="15">
        <v>9</v>
      </c>
      <c r="P14" s="16" t="s">
        <v>43</v>
      </c>
      <c r="Q14" s="17">
        <v>15</v>
      </c>
      <c r="T14">
        <v>9</v>
      </c>
      <c r="U14" t="s">
        <v>43</v>
      </c>
      <c r="V14">
        <v>36</v>
      </c>
      <c r="Y14">
        <v>9</v>
      </c>
      <c r="Z14" t="s">
        <v>43</v>
      </c>
      <c r="AA14">
        <v>288</v>
      </c>
    </row>
    <row r="15" spans="2:27" x14ac:dyDescent="0.3">
      <c r="B15">
        <v>10</v>
      </c>
      <c r="C15" t="s">
        <v>45</v>
      </c>
      <c r="D15">
        <v>7857</v>
      </c>
      <c r="E15">
        <v>14</v>
      </c>
      <c r="F15">
        <v>31</v>
      </c>
      <c r="G15">
        <v>328</v>
      </c>
      <c r="J15">
        <v>10</v>
      </c>
      <c r="K15" t="s">
        <v>45</v>
      </c>
      <c r="L15">
        <v>7857</v>
      </c>
      <c r="O15" s="18">
        <v>10</v>
      </c>
      <c r="P15" s="19" t="s">
        <v>45</v>
      </c>
      <c r="Q15" s="20">
        <v>14</v>
      </c>
      <c r="T15">
        <v>10</v>
      </c>
      <c r="U15" t="s">
        <v>45</v>
      </c>
      <c r="V15">
        <v>31</v>
      </c>
      <c r="Y15">
        <v>10</v>
      </c>
      <c r="Z15" t="s">
        <v>45</v>
      </c>
      <c r="AA15">
        <v>328</v>
      </c>
    </row>
    <row r="16" spans="2:27" x14ac:dyDescent="0.3">
      <c r="B16">
        <v>11</v>
      </c>
      <c r="C16" t="s">
        <v>46</v>
      </c>
      <c r="D16">
        <v>7752</v>
      </c>
      <c r="E16">
        <v>9</v>
      </c>
      <c r="F16">
        <v>18</v>
      </c>
      <c r="G16">
        <v>348</v>
      </c>
      <c r="J16">
        <v>11</v>
      </c>
      <c r="K16" t="s">
        <v>46</v>
      </c>
      <c r="L16">
        <v>7752</v>
      </c>
      <c r="O16" s="15">
        <v>11</v>
      </c>
      <c r="P16" s="16" t="s">
        <v>46</v>
      </c>
      <c r="Q16" s="17">
        <v>9</v>
      </c>
      <c r="T16">
        <v>11</v>
      </c>
      <c r="U16" t="s">
        <v>46</v>
      </c>
      <c r="V16">
        <v>18</v>
      </c>
      <c r="Y16">
        <v>11</v>
      </c>
      <c r="Z16" t="s">
        <v>46</v>
      </c>
      <c r="AA16">
        <v>348</v>
      </c>
    </row>
    <row r="17" spans="2:27" x14ac:dyDescent="0.3">
      <c r="B17">
        <v>12</v>
      </c>
      <c r="C17" t="s">
        <v>47</v>
      </c>
      <c r="D17">
        <v>14392</v>
      </c>
      <c r="E17">
        <v>37</v>
      </c>
      <c r="F17">
        <v>59</v>
      </c>
      <c r="G17">
        <v>707</v>
      </c>
      <c r="J17">
        <v>12</v>
      </c>
      <c r="K17" t="s">
        <v>47</v>
      </c>
      <c r="L17">
        <v>14392</v>
      </c>
      <c r="O17" s="18">
        <v>12</v>
      </c>
      <c r="P17" s="19" t="s">
        <v>47</v>
      </c>
      <c r="Q17" s="20">
        <v>37</v>
      </c>
      <c r="T17">
        <v>12</v>
      </c>
      <c r="U17" t="s">
        <v>47</v>
      </c>
      <c r="V17">
        <v>59</v>
      </c>
      <c r="Y17">
        <v>12</v>
      </c>
      <c r="Z17" t="s">
        <v>47</v>
      </c>
      <c r="AA17">
        <v>707</v>
      </c>
    </row>
    <row r="18" spans="2:27" x14ac:dyDescent="0.3">
      <c r="B18">
        <v>13</v>
      </c>
      <c r="C18" t="s">
        <v>48</v>
      </c>
      <c r="D18">
        <v>12438</v>
      </c>
      <c r="E18">
        <v>69</v>
      </c>
      <c r="F18">
        <v>63</v>
      </c>
      <c r="G18">
        <v>575</v>
      </c>
      <c r="J18">
        <v>13</v>
      </c>
      <c r="K18" t="s">
        <v>48</v>
      </c>
      <c r="L18">
        <v>12438</v>
      </c>
      <c r="O18" s="15">
        <v>13</v>
      </c>
      <c r="P18" s="16" t="s">
        <v>48</v>
      </c>
      <c r="Q18" s="17">
        <v>69</v>
      </c>
      <c r="T18">
        <v>13</v>
      </c>
      <c r="U18" t="s">
        <v>48</v>
      </c>
      <c r="V18">
        <v>63</v>
      </c>
      <c r="Y18">
        <v>13</v>
      </c>
      <c r="Z18" t="s">
        <v>48</v>
      </c>
      <c r="AA18">
        <v>575</v>
      </c>
    </row>
    <row r="19" spans="2:27" x14ac:dyDescent="0.3">
      <c r="B19">
        <v>14</v>
      </c>
      <c r="C19" t="s">
        <v>49</v>
      </c>
      <c r="D19">
        <v>15024</v>
      </c>
      <c r="E19">
        <v>58</v>
      </c>
      <c r="F19">
        <v>37</v>
      </c>
      <c r="G19">
        <v>253</v>
      </c>
      <c r="J19">
        <v>14</v>
      </c>
      <c r="K19" t="s">
        <v>49</v>
      </c>
      <c r="L19">
        <v>15024</v>
      </c>
      <c r="O19" s="18">
        <v>14</v>
      </c>
      <c r="P19" s="19" t="s">
        <v>49</v>
      </c>
      <c r="Q19" s="20">
        <v>58</v>
      </c>
      <c r="T19">
        <v>14</v>
      </c>
      <c r="U19" t="s">
        <v>49</v>
      </c>
      <c r="V19">
        <v>37</v>
      </c>
      <c r="Y19">
        <v>14</v>
      </c>
      <c r="Z19" t="s">
        <v>49</v>
      </c>
      <c r="AA19">
        <v>253</v>
      </c>
    </row>
    <row r="20" spans="2:27" x14ac:dyDescent="0.3">
      <c r="B20">
        <v>15</v>
      </c>
      <c r="C20" t="s">
        <v>50</v>
      </c>
      <c r="D20">
        <v>6250</v>
      </c>
      <c r="E20">
        <v>31</v>
      </c>
      <c r="F20">
        <v>15</v>
      </c>
      <c r="G20">
        <v>128</v>
      </c>
      <c r="J20">
        <v>15</v>
      </c>
      <c r="K20" t="s">
        <v>50</v>
      </c>
      <c r="L20">
        <v>6250</v>
      </c>
      <c r="O20" s="15">
        <v>15</v>
      </c>
      <c r="P20" s="16" t="s">
        <v>50</v>
      </c>
      <c r="Q20" s="17">
        <v>31</v>
      </c>
      <c r="T20">
        <v>15</v>
      </c>
      <c r="U20" t="s">
        <v>50</v>
      </c>
      <c r="V20">
        <v>15</v>
      </c>
      <c r="Y20">
        <v>15</v>
      </c>
      <c r="Z20" t="s">
        <v>50</v>
      </c>
      <c r="AA20">
        <v>128</v>
      </c>
    </row>
    <row r="21" spans="2:27" x14ac:dyDescent="0.3">
      <c r="B21">
        <v>16</v>
      </c>
      <c r="C21" t="s">
        <v>51</v>
      </c>
      <c r="D21">
        <v>8603</v>
      </c>
      <c r="E21">
        <v>36</v>
      </c>
      <c r="F21">
        <v>35</v>
      </c>
      <c r="G21">
        <v>552</v>
      </c>
      <c r="J21">
        <v>16</v>
      </c>
      <c r="K21" t="s">
        <v>51</v>
      </c>
      <c r="L21">
        <v>8603</v>
      </c>
      <c r="O21" s="18">
        <v>16</v>
      </c>
      <c r="P21" s="19" t="s">
        <v>51</v>
      </c>
      <c r="Q21" s="20">
        <v>36</v>
      </c>
      <c r="T21">
        <v>16</v>
      </c>
      <c r="U21" t="s">
        <v>51</v>
      </c>
      <c r="V21">
        <v>35</v>
      </c>
      <c r="Y21">
        <v>16</v>
      </c>
      <c r="Z21" t="s">
        <v>51</v>
      </c>
      <c r="AA21">
        <v>552</v>
      </c>
    </row>
    <row r="22" spans="2:27" x14ac:dyDescent="0.3">
      <c r="B22">
        <v>17</v>
      </c>
      <c r="C22" t="s">
        <v>52</v>
      </c>
      <c r="D22">
        <v>4522</v>
      </c>
      <c r="E22">
        <v>9</v>
      </c>
      <c r="F22">
        <v>10</v>
      </c>
      <c r="G22">
        <v>61</v>
      </c>
      <c r="J22">
        <v>17</v>
      </c>
      <c r="K22" t="s">
        <v>52</v>
      </c>
      <c r="L22">
        <v>4522</v>
      </c>
      <c r="O22" s="15">
        <v>17</v>
      </c>
      <c r="P22" s="16" t="s">
        <v>52</v>
      </c>
      <c r="Q22" s="17">
        <v>9</v>
      </c>
      <c r="T22">
        <v>17</v>
      </c>
      <c r="U22" t="s">
        <v>52</v>
      </c>
      <c r="V22">
        <v>10</v>
      </c>
      <c r="Y22">
        <v>17</v>
      </c>
      <c r="Z22" t="s">
        <v>52</v>
      </c>
      <c r="AA22">
        <v>61</v>
      </c>
    </row>
    <row r="23" spans="2:27" x14ac:dyDescent="0.3">
      <c r="B23">
        <v>18</v>
      </c>
      <c r="C23" t="s">
        <v>53</v>
      </c>
      <c r="D23">
        <v>4054</v>
      </c>
      <c r="E23">
        <v>80</v>
      </c>
      <c r="F23">
        <v>12</v>
      </c>
      <c r="G23">
        <v>168</v>
      </c>
      <c r="J23">
        <v>18</v>
      </c>
      <c r="K23" t="s">
        <v>53</v>
      </c>
      <c r="L23">
        <v>4054</v>
      </c>
      <c r="O23" s="18">
        <v>18</v>
      </c>
      <c r="P23" s="19" t="s">
        <v>53</v>
      </c>
      <c r="Q23" s="20">
        <v>80</v>
      </c>
      <c r="T23">
        <v>18</v>
      </c>
      <c r="U23" t="s">
        <v>53</v>
      </c>
      <c r="V23">
        <v>12</v>
      </c>
      <c r="Y23">
        <v>18</v>
      </c>
      <c r="Z23" t="s">
        <v>53</v>
      </c>
      <c r="AA23">
        <v>168</v>
      </c>
    </row>
    <row r="24" spans="2:27" x14ac:dyDescent="0.3">
      <c r="B24">
        <v>19</v>
      </c>
      <c r="C24" t="s">
        <v>54</v>
      </c>
      <c r="D24">
        <v>10509</v>
      </c>
      <c r="E24">
        <v>44</v>
      </c>
      <c r="F24">
        <v>29</v>
      </c>
      <c r="G24">
        <v>423</v>
      </c>
      <c r="J24">
        <v>19</v>
      </c>
      <c r="K24" t="s">
        <v>54</v>
      </c>
      <c r="L24">
        <v>10509</v>
      </c>
      <c r="O24" s="15">
        <v>19</v>
      </c>
      <c r="P24" s="16" t="s">
        <v>54</v>
      </c>
      <c r="Q24" s="17">
        <v>44</v>
      </c>
      <c r="T24">
        <v>19</v>
      </c>
      <c r="U24" t="s">
        <v>54</v>
      </c>
      <c r="V24">
        <v>29</v>
      </c>
      <c r="Y24">
        <v>19</v>
      </c>
      <c r="Z24" t="s">
        <v>54</v>
      </c>
      <c r="AA24">
        <v>423</v>
      </c>
    </row>
    <row r="25" spans="2:27" x14ac:dyDescent="0.3">
      <c r="B25">
        <v>20</v>
      </c>
      <c r="C25" t="s">
        <v>55</v>
      </c>
      <c r="D25">
        <v>10010</v>
      </c>
      <c r="E25">
        <v>31</v>
      </c>
      <c r="F25">
        <v>36</v>
      </c>
      <c r="G25">
        <v>402</v>
      </c>
      <c r="J25">
        <v>20</v>
      </c>
      <c r="K25" t="s">
        <v>55</v>
      </c>
      <c r="L25">
        <v>10010</v>
      </c>
      <c r="O25" s="18">
        <v>20</v>
      </c>
      <c r="P25" s="19" t="s">
        <v>55</v>
      </c>
      <c r="Q25" s="20">
        <v>31</v>
      </c>
      <c r="T25">
        <v>20</v>
      </c>
      <c r="U25" t="s">
        <v>55</v>
      </c>
      <c r="V25">
        <v>36</v>
      </c>
      <c r="Y25">
        <v>20</v>
      </c>
      <c r="Z25" t="s">
        <v>55</v>
      </c>
      <c r="AA25">
        <v>402</v>
      </c>
    </row>
    <row r="26" spans="2:27" x14ac:dyDescent="0.3">
      <c r="B26">
        <v>21</v>
      </c>
      <c r="C26" t="s">
        <v>56</v>
      </c>
      <c r="D26">
        <v>1412</v>
      </c>
      <c r="E26">
        <v>5</v>
      </c>
      <c r="F26">
        <v>8</v>
      </c>
      <c r="G26">
        <v>1</v>
      </c>
      <c r="J26">
        <v>21</v>
      </c>
      <c r="K26" t="s">
        <v>56</v>
      </c>
      <c r="L26">
        <v>1412</v>
      </c>
      <c r="O26" s="15">
        <v>21</v>
      </c>
      <c r="P26" s="16" t="s">
        <v>56</v>
      </c>
      <c r="Q26" s="17">
        <v>5</v>
      </c>
      <c r="T26">
        <v>21</v>
      </c>
      <c r="U26" t="s">
        <v>56</v>
      </c>
      <c r="V26">
        <v>8</v>
      </c>
      <c r="Y26">
        <v>21</v>
      </c>
      <c r="Z26" t="s">
        <v>56</v>
      </c>
      <c r="AA26">
        <v>1</v>
      </c>
    </row>
    <row r="27" spans="2:27" x14ac:dyDescent="0.3">
      <c r="B27">
        <v>22</v>
      </c>
      <c r="C27" t="s">
        <v>57</v>
      </c>
      <c r="D27">
        <v>644</v>
      </c>
      <c r="E27">
        <v>1</v>
      </c>
      <c r="F27">
        <v>1</v>
      </c>
      <c r="G27">
        <v>0</v>
      </c>
      <c r="J27">
        <v>22</v>
      </c>
      <c r="K27" t="s">
        <v>57</v>
      </c>
      <c r="L27">
        <v>644</v>
      </c>
      <c r="O27" s="18">
        <v>22</v>
      </c>
      <c r="P27" s="19" t="s">
        <v>57</v>
      </c>
      <c r="Q27" s="20">
        <v>1</v>
      </c>
      <c r="T27">
        <v>22</v>
      </c>
      <c r="U27" t="s">
        <v>57</v>
      </c>
      <c r="V27">
        <v>1</v>
      </c>
      <c r="Y27">
        <v>22</v>
      </c>
      <c r="Z27" t="s">
        <v>57</v>
      </c>
      <c r="AA27">
        <v>0</v>
      </c>
    </row>
    <row r="28" spans="2:27" x14ac:dyDescent="0.3">
      <c r="B28">
        <v>23</v>
      </c>
      <c r="C28" t="s">
        <v>58</v>
      </c>
      <c r="D28">
        <v>14523</v>
      </c>
      <c r="E28">
        <v>49</v>
      </c>
      <c r="F28">
        <v>46</v>
      </c>
      <c r="G28">
        <v>538</v>
      </c>
      <c r="J28">
        <v>23</v>
      </c>
      <c r="K28" t="s">
        <v>58</v>
      </c>
      <c r="L28">
        <v>14523</v>
      </c>
      <c r="O28" s="15">
        <v>23</v>
      </c>
      <c r="P28" s="16" t="s">
        <v>58</v>
      </c>
      <c r="Q28" s="17">
        <v>49</v>
      </c>
      <c r="T28">
        <v>23</v>
      </c>
      <c r="U28" t="s">
        <v>58</v>
      </c>
      <c r="V28">
        <v>46</v>
      </c>
      <c r="Y28">
        <v>23</v>
      </c>
      <c r="Z28" t="s">
        <v>58</v>
      </c>
      <c r="AA28">
        <v>538</v>
      </c>
    </row>
    <row r="29" spans="2:27" x14ac:dyDescent="0.3">
      <c r="B29">
        <v>24</v>
      </c>
      <c r="C29" t="s">
        <v>59</v>
      </c>
      <c r="D29">
        <v>16550</v>
      </c>
      <c r="E29">
        <v>24</v>
      </c>
      <c r="F29">
        <v>26</v>
      </c>
      <c r="G29">
        <v>217</v>
      </c>
      <c r="J29">
        <v>24</v>
      </c>
      <c r="K29" t="s">
        <v>59</v>
      </c>
      <c r="L29">
        <v>16550</v>
      </c>
      <c r="O29" s="18">
        <v>24</v>
      </c>
      <c r="P29" s="19" t="s">
        <v>59</v>
      </c>
      <c r="Q29" s="20">
        <v>24</v>
      </c>
      <c r="T29">
        <v>24</v>
      </c>
      <c r="U29" t="s">
        <v>59</v>
      </c>
      <c r="V29">
        <v>26</v>
      </c>
      <c r="Y29">
        <v>24</v>
      </c>
      <c r="Z29" t="s">
        <v>59</v>
      </c>
      <c r="AA29">
        <v>217</v>
      </c>
    </row>
    <row r="30" spans="2:27" x14ac:dyDescent="0.3">
      <c r="B30">
        <v>25</v>
      </c>
      <c r="C30" t="s">
        <v>60</v>
      </c>
      <c r="D30">
        <v>8935</v>
      </c>
      <c r="E30">
        <v>43</v>
      </c>
      <c r="F30">
        <v>42</v>
      </c>
      <c r="G30">
        <v>381</v>
      </c>
      <c r="J30">
        <v>25</v>
      </c>
      <c r="K30" t="s">
        <v>60</v>
      </c>
      <c r="L30">
        <v>8935</v>
      </c>
      <c r="O30" s="15">
        <v>25</v>
      </c>
      <c r="P30" s="16" t="s">
        <v>60</v>
      </c>
      <c r="Q30" s="17">
        <v>43</v>
      </c>
      <c r="T30">
        <v>25</v>
      </c>
      <c r="U30" t="s">
        <v>60</v>
      </c>
      <c r="V30">
        <v>42</v>
      </c>
      <c r="Y30">
        <v>25</v>
      </c>
      <c r="Z30" t="s">
        <v>60</v>
      </c>
      <c r="AA30">
        <v>381</v>
      </c>
    </row>
    <row r="31" spans="2:27" x14ac:dyDescent="0.3">
      <c r="B31">
        <v>26</v>
      </c>
      <c r="C31" t="s">
        <v>61</v>
      </c>
      <c r="D31">
        <v>20366</v>
      </c>
      <c r="E31">
        <v>117</v>
      </c>
      <c r="F31">
        <v>51</v>
      </c>
      <c r="G31">
        <v>587</v>
      </c>
      <c r="J31">
        <v>26</v>
      </c>
      <c r="K31" t="s">
        <v>61</v>
      </c>
      <c r="L31">
        <v>20366</v>
      </c>
      <c r="O31" s="18">
        <v>26</v>
      </c>
      <c r="P31" s="19" t="s">
        <v>61</v>
      </c>
      <c r="Q31" s="20">
        <v>117</v>
      </c>
      <c r="T31">
        <v>26</v>
      </c>
      <c r="U31" t="s">
        <v>61</v>
      </c>
      <c r="V31">
        <v>51</v>
      </c>
      <c r="Y31">
        <v>26</v>
      </c>
      <c r="Z31" t="s">
        <v>61</v>
      </c>
      <c r="AA31">
        <v>587</v>
      </c>
    </row>
    <row r="32" spans="2:27" x14ac:dyDescent="0.3">
      <c r="B32">
        <v>27</v>
      </c>
      <c r="C32" t="s">
        <v>62</v>
      </c>
      <c r="D32">
        <v>11745</v>
      </c>
      <c r="E32">
        <v>45</v>
      </c>
      <c r="F32">
        <v>46</v>
      </c>
      <c r="G32">
        <v>322</v>
      </c>
      <c r="J32">
        <v>27</v>
      </c>
      <c r="K32" t="s">
        <v>62</v>
      </c>
      <c r="L32">
        <v>11745</v>
      </c>
      <c r="O32" s="15">
        <v>27</v>
      </c>
      <c r="P32" s="16" t="s">
        <v>62</v>
      </c>
      <c r="Q32" s="17">
        <v>45</v>
      </c>
      <c r="T32">
        <v>27</v>
      </c>
      <c r="U32" t="s">
        <v>62</v>
      </c>
      <c r="V32">
        <v>46</v>
      </c>
      <c r="Y32">
        <v>27</v>
      </c>
      <c r="Z32" t="s">
        <v>62</v>
      </c>
      <c r="AA32">
        <v>322</v>
      </c>
    </row>
    <row r="33" spans="2:27" x14ac:dyDescent="0.3">
      <c r="B33">
        <v>28</v>
      </c>
      <c r="C33" t="s">
        <v>63</v>
      </c>
      <c r="D33">
        <v>10878</v>
      </c>
      <c r="E33">
        <v>95</v>
      </c>
      <c r="F33">
        <v>47</v>
      </c>
      <c r="G33">
        <v>299</v>
      </c>
      <c r="J33">
        <v>28</v>
      </c>
      <c r="K33" t="s">
        <v>63</v>
      </c>
      <c r="L33">
        <v>10878</v>
      </c>
      <c r="O33" s="18">
        <v>28</v>
      </c>
      <c r="P33" s="19" t="s">
        <v>63</v>
      </c>
      <c r="Q33" s="20">
        <v>95</v>
      </c>
      <c r="T33">
        <v>28</v>
      </c>
      <c r="U33" t="s">
        <v>63</v>
      </c>
      <c r="V33">
        <v>47</v>
      </c>
      <c r="Y33">
        <v>28</v>
      </c>
      <c r="Z33" t="s">
        <v>63</v>
      </c>
      <c r="AA33">
        <v>299</v>
      </c>
    </row>
    <row r="34" spans="2:27" x14ac:dyDescent="0.3">
      <c r="B34">
        <v>29</v>
      </c>
      <c r="C34" t="s">
        <v>64</v>
      </c>
      <c r="D34">
        <v>6419</v>
      </c>
      <c r="E34">
        <v>21</v>
      </c>
      <c r="F34">
        <v>17</v>
      </c>
      <c r="G34">
        <v>95</v>
      </c>
      <c r="J34">
        <v>29</v>
      </c>
      <c r="K34" t="s">
        <v>64</v>
      </c>
      <c r="L34">
        <v>6419</v>
      </c>
      <c r="O34" s="15">
        <v>29</v>
      </c>
      <c r="P34" s="16" t="s">
        <v>64</v>
      </c>
      <c r="Q34" s="17">
        <v>21</v>
      </c>
      <c r="T34">
        <v>29</v>
      </c>
      <c r="U34" t="s">
        <v>64</v>
      </c>
      <c r="V34">
        <v>17</v>
      </c>
      <c r="Y34">
        <v>29</v>
      </c>
      <c r="Z34" t="s">
        <v>64</v>
      </c>
      <c r="AA34">
        <v>95</v>
      </c>
    </row>
    <row r="35" spans="2:27" x14ac:dyDescent="0.3">
      <c r="B35">
        <v>30</v>
      </c>
      <c r="C35" t="s">
        <v>65</v>
      </c>
      <c r="D35">
        <v>12017</v>
      </c>
      <c r="E35">
        <v>29</v>
      </c>
      <c r="F35">
        <v>30</v>
      </c>
      <c r="G35">
        <v>286</v>
      </c>
      <c r="J35">
        <v>30</v>
      </c>
      <c r="K35" t="s">
        <v>65</v>
      </c>
      <c r="L35">
        <v>12017</v>
      </c>
      <c r="O35" s="18">
        <v>30</v>
      </c>
      <c r="P35" s="19" t="s">
        <v>65</v>
      </c>
      <c r="Q35" s="20">
        <v>29</v>
      </c>
      <c r="T35">
        <v>30</v>
      </c>
      <c r="U35" t="s">
        <v>65</v>
      </c>
      <c r="V35">
        <v>30</v>
      </c>
      <c r="Y35">
        <v>30</v>
      </c>
      <c r="Z35" t="s">
        <v>65</v>
      </c>
      <c r="AA35">
        <v>286</v>
      </c>
    </row>
    <row r="36" spans="2:27" x14ac:dyDescent="0.3">
      <c r="B36">
        <v>31</v>
      </c>
      <c r="C36" t="s">
        <v>66</v>
      </c>
      <c r="D36">
        <v>15705</v>
      </c>
      <c r="E36">
        <v>38</v>
      </c>
      <c r="F36">
        <v>35</v>
      </c>
      <c r="G36">
        <v>648</v>
      </c>
      <c r="J36">
        <v>31</v>
      </c>
      <c r="K36" t="s">
        <v>66</v>
      </c>
      <c r="L36">
        <v>15705</v>
      </c>
      <c r="O36" s="15">
        <v>31</v>
      </c>
      <c r="P36" s="16" t="s">
        <v>66</v>
      </c>
      <c r="Q36" s="17">
        <v>38</v>
      </c>
      <c r="T36">
        <v>31</v>
      </c>
      <c r="U36" t="s">
        <v>66</v>
      </c>
      <c r="V36">
        <v>35</v>
      </c>
      <c r="Y36">
        <v>31</v>
      </c>
      <c r="Z36" t="s">
        <v>66</v>
      </c>
      <c r="AA36">
        <v>648</v>
      </c>
    </row>
    <row r="37" spans="2:27" x14ac:dyDescent="0.3">
      <c r="B37">
        <v>32</v>
      </c>
      <c r="C37" t="s">
        <v>67</v>
      </c>
      <c r="D37">
        <v>13536</v>
      </c>
      <c r="E37">
        <v>45</v>
      </c>
      <c r="F37">
        <v>18</v>
      </c>
      <c r="G37">
        <v>220</v>
      </c>
      <c r="J37">
        <v>32</v>
      </c>
      <c r="K37" t="s">
        <v>67</v>
      </c>
      <c r="L37">
        <v>13536</v>
      </c>
      <c r="O37" s="18">
        <v>32</v>
      </c>
      <c r="P37" s="19" t="s">
        <v>67</v>
      </c>
      <c r="Q37" s="20">
        <v>45</v>
      </c>
      <c r="T37">
        <v>32</v>
      </c>
      <c r="U37" t="s">
        <v>67</v>
      </c>
      <c r="V37">
        <v>18</v>
      </c>
      <c r="Y37">
        <v>32</v>
      </c>
      <c r="Z37" t="s">
        <v>67</v>
      </c>
      <c r="AA37">
        <v>220</v>
      </c>
    </row>
    <row r="38" spans="2:27" x14ac:dyDescent="0.3">
      <c r="B38">
        <v>33</v>
      </c>
      <c r="C38" t="s">
        <v>68</v>
      </c>
      <c r="D38">
        <v>10622</v>
      </c>
      <c r="E38">
        <v>76</v>
      </c>
      <c r="F38">
        <v>74</v>
      </c>
      <c r="G38">
        <v>460</v>
      </c>
      <c r="J38">
        <v>33</v>
      </c>
      <c r="K38" t="s">
        <v>68</v>
      </c>
      <c r="L38">
        <v>10622</v>
      </c>
      <c r="O38" s="15">
        <v>33</v>
      </c>
      <c r="P38" s="16" t="s">
        <v>68</v>
      </c>
      <c r="Q38" s="17">
        <v>76</v>
      </c>
      <c r="T38">
        <v>33</v>
      </c>
      <c r="U38" t="s">
        <v>68</v>
      </c>
      <c r="V38">
        <v>74</v>
      </c>
      <c r="Y38">
        <v>33</v>
      </c>
      <c r="Z38" t="s">
        <v>68</v>
      </c>
      <c r="AA38">
        <v>460</v>
      </c>
    </row>
    <row r="39" spans="2:27" x14ac:dyDescent="0.3">
      <c r="B39">
        <v>34</v>
      </c>
      <c r="C39" t="s">
        <v>69</v>
      </c>
      <c r="D39">
        <v>10512</v>
      </c>
      <c r="E39">
        <v>15</v>
      </c>
      <c r="F39">
        <v>31</v>
      </c>
      <c r="G39">
        <v>710</v>
      </c>
      <c r="J39">
        <v>34</v>
      </c>
      <c r="K39" t="s">
        <v>69</v>
      </c>
      <c r="L39">
        <v>10512</v>
      </c>
      <c r="O39" s="18">
        <v>34</v>
      </c>
      <c r="P39" s="19" t="s">
        <v>69</v>
      </c>
      <c r="Q39" s="20">
        <v>15</v>
      </c>
      <c r="T39">
        <v>34</v>
      </c>
      <c r="U39" t="s">
        <v>69</v>
      </c>
      <c r="V39">
        <v>31</v>
      </c>
      <c r="Y39">
        <v>34</v>
      </c>
      <c r="Z39" t="s">
        <v>69</v>
      </c>
      <c r="AA39">
        <v>710</v>
      </c>
    </row>
    <row r="40" spans="2:27" x14ac:dyDescent="0.3">
      <c r="B40">
        <v>35</v>
      </c>
      <c r="C40" t="s">
        <v>70</v>
      </c>
      <c r="D40">
        <v>8048</v>
      </c>
      <c r="E40">
        <v>9</v>
      </c>
      <c r="F40">
        <v>24</v>
      </c>
      <c r="G40">
        <v>155</v>
      </c>
      <c r="J40">
        <v>35</v>
      </c>
      <c r="K40" t="s">
        <v>70</v>
      </c>
      <c r="L40">
        <v>8048</v>
      </c>
      <c r="O40" s="15">
        <v>35</v>
      </c>
      <c r="P40" s="16" t="s">
        <v>70</v>
      </c>
      <c r="Q40" s="17">
        <v>9</v>
      </c>
      <c r="T40">
        <v>35</v>
      </c>
      <c r="U40" t="s">
        <v>70</v>
      </c>
      <c r="V40">
        <v>24</v>
      </c>
      <c r="Y40">
        <v>35</v>
      </c>
      <c r="Z40" t="s">
        <v>70</v>
      </c>
      <c r="AA40">
        <v>155</v>
      </c>
    </row>
    <row r="41" spans="2:27" x14ac:dyDescent="0.3">
      <c r="B41">
        <v>36</v>
      </c>
      <c r="C41" t="s">
        <v>71</v>
      </c>
      <c r="D41">
        <v>10861</v>
      </c>
      <c r="E41">
        <v>64</v>
      </c>
      <c r="F41">
        <v>45</v>
      </c>
      <c r="G41">
        <v>528</v>
      </c>
      <c r="J41">
        <v>36</v>
      </c>
      <c r="K41" t="s">
        <v>71</v>
      </c>
      <c r="L41">
        <v>10861</v>
      </c>
      <c r="O41" s="18">
        <v>36</v>
      </c>
      <c r="P41" s="19" t="s">
        <v>71</v>
      </c>
      <c r="Q41" s="20">
        <v>64</v>
      </c>
      <c r="T41">
        <v>36</v>
      </c>
      <c r="U41" t="s">
        <v>71</v>
      </c>
      <c r="V41">
        <v>45</v>
      </c>
      <c r="Y41">
        <v>36</v>
      </c>
      <c r="Z41" t="s">
        <v>71</v>
      </c>
      <c r="AA41">
        <v>528</v>
      </c>
    </row>
    <row r="42" spans="2:27" x14ac:dyDescent="0.3">
      <c r="B42">
        <v>37</v>
      </c>
      <c r="C42" t="s">
        <v>72</v>
      </c>
      <c r="D42">
        <v>14820</v>
      </c>
      <c r="E42">
        <v>17</v>
      </c>
      <c r="F42">
        <v>19</v>
      </c>
      <c r="G42">
        <v>158</v>
      </c>
      <c r="J42">
        <v>37</v>
      </c>
      <c r="K42" t="s">
        <v>72</v>
      </c>
      <c r="L42">
        <v>14820</v>
      </c>
      <c r="O42" s="15">
        <v>37</v>
      </c>
      <c r="P42" s="16" t="s">
        <v>72</v>
      </c>
      <c r="Q42" s="17">
        <v>17</v>
      </c>
      <c r="T42">
        <v>37</v>
      </c>
      <c r="U42" t="s">
        <v>72</v>
      </c>
      <c r="V42">
        <v>19</v>
      </c>
      <c r="Y42">
        <v>37</v>
      </c>
      <c r="Z42" t="s">
        <v>72</v>
      </c>
      <c r="AA42">
        <v>158</v>
      </c>
    </row>
    <row r="43" spans="2:27" x14ac:dyDescent="0.3">
      <c r="B43">
        <v>38</v>
      </c>
      <c r="C43" t="s">
        <v>73</v>
      </c>
      <c r="D43">
        <v>10147</v>
      </c>
      <c r="E43">
        <v>19</v>
      </c>
      <c r="F43">
        <v>24</v>
      </c>
      <c r="G43">
        <v>312</v>
      </c>
      <c r="J43">
        <v>38</v>
      </c>
      <c r="K43" t="s">
        <v>73</v>
      </c>
      <c r="L43">
        <v>10147</v>
      </c>
      <c r="O43" s="18">
        <v>38</v>
      </c>
      <c r="P43" s="19" t="s">
        <v>73</v>
      </c>
      <c r="Q43" s="20">
        <v>19</v>
      </c>
      <c r="T43">
        <v>38</v>
      </c>
      <c r="U43" t="s">
        <v>73</v>
      </c>
      <c r="V43">
        <v>24</v>
      </c>
      <c r="Y43">
        <v>38</v>
      </c>
      <c r="Z43" t="s">
        <v>73</v>
      </c>
      <c r="AA43">
        <v>312</v>
      </c>
    </row>
    <row r="44" spans="2:27" x14ac:dyDescent="0.3">
      <c r="B44">
        <v>39</v>
      </c>
      <c r="C44" t="s">
        <v>74</v>
      </c>
      <c r="D44">
        <v>23152</v>
      </c>
      <c r="E44">
        <v>42</v>
      </c>
      <c r="F44">
        <v>35</v>
      </c>
      <c r="G44">
        <v>519</v>
      </c>
      <c r="J44">
        <v>39</v>
      </c>
      <c r="K44" t="s">
        <v>74</v>
      </c>
      <c r="L44">
        <v>23152</v>
      </c>
      <c r="O44" s="15">
        <v>39</v>
      </c>
      <c r="P44" s="16" t="s">
        <v>74</v>
      </c>
      <c r="Q44" s="17">
        <v>42</v>
      </c>
      <c r="T44">
        <v>39</v>
      </c>
      <c r="U44" t="s">
        <v>74</v>
      </c>
      <c r="V44">
        <v>35</v>
      </c>
      <c r="Y44">
        <v>39</v>
      </c>
      <c r="Z44" t="s">
        <v>74</v>
      </c>
      <c r="AA44">
        <v>519</v>
      </c>
    </row>
    <row r="45" spans="2:27" x14ac:dyDescent="0.3">
      <c r="B45">
        <v>40</v>
      </c>
      <c r="C45" t="s">
        <v>75</v>
      </c>
      <c r="D45">
        <v>12586</v>
      </c>
      <c r="E45">
        <v>47</v>
      </c>
      <c r="F45">
        <v>61</v>
      </c>
      <c r="G45">
        <v>463</v>
      </c>
      <c r="J45">
        <v>40</v>
      </c>
      <c r="K45" t="s">
        <v>75</v>
      </c>
      <c r="L45">
        <v>12586</v>
      </c>
      <c r="O45" s="18">
        <v>40</v>
      </c>
      <c r="P45" s="19" t="s">
        <v>75</v>
      </c>
      <c r="Q45" s="20">
        <v>47</v>
      </c>
      <c r="T45">
        <v>40</v>
      </c>
      <c r="U45" t="s">
        <v>75</v>
      </c>
      <c r="V45">
        <v>61</v>
      </c>
      <c r="Y45">
        <v>40</v>
      </c>
      <c r="Z45" t="s">
        <v>75</v>
      </c>
      <c r="AA45">
        <v>463</v>
      </c>
    </row>
    <row r="46" spans="2:27" x14ac:dyDescent="0.3">
      <c r="B46">
        <v>41</v>
      </c>
      <c r="C46" t="s">
        <v>76</v>
      </c>
      <c r="D46">
        <v>1</v>
      </c>
      <c r="E46">
        <v>0</v>
      </c>
      <c r="F46">
        <v>0</v>
      </c>
      <c r="G46">
        <v>0</v>
      </c>
      <c r="J46">
        <v>41</v>
      </c>
      <c r="K46" t="s">
        <v>76</v>
      </c>
      <c r="L46">
        <v>1</v>
      </c>
      <c r="O46" s="15">
        <v>41</v>
      </c>
      <c r="P46" s="16" t="s">
        <v>76</v>
      </c>
      <c r="Q46" s="17">
        <v>0</v>
      </c>
      <c r="T46">
        <v>41</v>
      </c>
      <c r="U46" t="s">
        <v>76</v>
      </c>
      <c r="V46">
        <v>0</v>
      </c>
      <c r="Y46">
        <v>41</v>
      </c>
      <c r="Z46" t="s">
        <v>76</v>
      </c>
      <c r="AA46">
        <v>0</v>
      </c>
    </row>
    <row r="47" spans="2:27" x14ac:dyDescent="0.3">
      <c r="B47">
        <v>42</v>
      </c>
      <c r="C47" t="s">
        <v>77</v>
      </c>
      <c r="D47">
        <v>381</v>
      </c>
      <c r="E47">
        <v>0</v>
      </c>
      <c r="F47">
        <v>0</v>
      </c>
      <c r="G47">
        <v>0</v>
      </c>
      <c r="J47">
        <v>42</v>
      </c>
      <c r="K47" t="s">
        <v>77</v>
      </c>
      <c r="L47">
        <v>381</v>
      </c>
      <c r="O47" s="18">
        <v>42</v>
      </c>
      <c r="P47" s="19" t="s">
        <v>77</v>
      </c>
      <c r="Q47" s="20">
        <v>0</v>
      </c>
      <c r="T47">
        <v>42</v>
      </c>
      <c r="U47" t="s">
        <v>77</v>
      </c>
      <c r="V47">
        <v>0</v>
      </c>
      <c r="Y47">
        <v>42</v>
      </c>
      <c r="Z47" t="s">
        <v>77</v>
      </c>
      <c r="AA47">
        <v>0</v>
      </c>
    </row>
    <row r="48" spans="2:27" x14ac:dyDescent="0.3">
      <c r="B48">
        <v>43</v>
      </c>
      <c r="C48" t="s">
        <v>78</v>
      </c>
      <c r="D48">
        <v>11108</v>
      </c>
      <c r="E48">
        <v>20</v>
      </c>
      <c r="F48">
        <v>31</v>
      </c>
      <c r="G48">
        <v>392</v>
      </c>
      <c r="J48">
        <v>43</v>
      </c>
      <c r="K48" t="s">
        <v>78</v>
      </c>
      <c r="L48">
        <v>11108</v>
      </c>
      <c r="O48" s="15">
        <v>43</v>
      </c>
      <c r="P48" s="16" t="s">
        <v>78</v>
      </c>
      <c r="Q48" s="17">
        <v>20</v>
      </c>
      <c r="T48">
        <v>43</v>
      </c>
      <c r="U48" t="s">
        <v>78</v>
      </c>
      <c r="V48">
        <v>31</v>
      </c>
      <c r="Y48">
        <v>43</v>
      </c>
      <c r="Z48" t="s">
        <v>78</v>
      </c>
      <c r="AA48">
        <v>392</v>
      </c>
    </row>
    <row r="49" spans="2:27" x14ac:dyDescent="0.3">
      <c r="B49">
        <v>44</v>
      </c>
      <c r="C49" t="s">
        <v>79</v>
      </c>
      <c r="D49">
        <v>11047</v>
      </c>
      <c r="E49">
        <v>114</v>
      </c>
      <c r="F49">
        <v>23</v>
      </c>
      <c r="G49">
        <v>286</v>
      </c>
      <c r="J49">
        <v>44</v>
      </c>
      <c r="K49" t="s">
        <v>79</v>
      </c>
      <c r="L49">
        <v>11047</v>
      </c>
      <c r="O49" s="18">
        <v>44</v>
      </c>
      <c r="P49" s="19" t="s">
        <v>79</v>
      </c>
      <c r="Q49" s="20">
        <v>114</v>
      </c>
      <c r="T49">
        <v>44</v>
      </c>
      <c r="U49" t="s">
        <v>79</v>
      </c>
      <c r="V49">
        <v>23</v>
      </c>
      <c r="Y49">
        <v>44</v>
      </c>
      <c r="Z49" t="s">
        <v>79</v>
      </c>
      <c r="AA49">
        <v>286</v>
      </c>
    </row>
    <row r="50" spans="2:27" x14ac:dyDescent="0.3">
      <c r="B50">
        <v>45</v>
      </c>
      <c r="C50" t="s">
        <v>80</v>
      </c>
      <c r="D50">
        <v>7615</v>
      </c>
      <c r="E50">
        <v>12</v>
      </c>
      <c r="F50">
        <v>22</v>
      </c>
      <c r="G50">
        <v>263</v>
      </c>
      <c r="J50">
        <v>45</v>
      </c>
      <c r="K50" t="s">
        <v>80</v>
      </c>
      <c r="L50">
        <v>7615</v>
      </c>
      <c r="O50" s="15">
        <v>45</v>
      </c>
      <c r="P50" s="16" t="s">
        <v>80</v>
      </c>
      <c r="Q50" s="17">
        <v>12</v>
      </c>
      <c r="T50">
        <v>45</v>
      </c>
      <c r="U50" t="s">
        <v>80</v>
      </c>
      <c r="V50">
        <v>22</v>
      </c>
      <c r="Y50">
        <v>45</v>
      </c>
      <c r="Z50" t="s">
        <v>80</v>
      </c>
      <c r="AA50">
        <v>263</v>
      </c>
    </row>
    <row r="51" spans="2:27" x14ac:dyDescent="0.3">
      <c r="B51">
        <v>46</v>
      </c>
      <c r="C51" t="s">
        <v>81</v>
      </c>
      <c r="D51">
        <v>7928</v>
      </c>
      <c r="E51">
        <v>14</v>
      </c>
      <c r="F51">
        <v>19</v>
      </c>
      <c r="G51">
        <v>198</v>
      </c>
      <c r="J51">
        <v>46</v>
      </c>
      <c r="K51" t="s">
        <v>81</v>
      </c>
      <c r="L51">
        <v>7928</v>
      </c>
      <c r="O51" s="18">
        <v>46</v>
      </c>
      <c r="P51" s="19" t="s">
        <v>81</v>
      </c>
      <c r="Q51" s="20">
        <v>14</v>
      </c>
      <c r="T51">
        <v>46</v>
      </c>
      <c r="U51" t="s">
        <v>81</v>
      </c>
      <c r="V51">
        <v>19</v>
      </c>
      <c r="Y51">
        <v>46</v>
      </c>
      <c r="Z51" t="s">
        <v>81</v>
      </c>
      <c r="AA51">
        <v>198</v>
      </c>
    </row>
    <row r="52" spans="2:27" x14ac:dyDescent="0.3">
      <c r="B52">
        <v>47</v>
      </c>
      <c r="C52" t="s">
        <v>82</v>
      </c>
      <c r="D52">
        <v>7778</v>
      </c>
      <c r="E52">
        <v>74</v>
      </c>
      <c r="F52">
        <v>39</v>
      </c>
      <c r="G52">
        <v>232</v>
      </c>
      <c r="J52">
        <v>47</v>
      </c>
      <c r="K52" t="s">
        <v>82</v>
      </c>
      <c r="L52">
        <v>7778</v>
      </c>
      <c r="O52" s="15">
        <v>47</v>
      </c>
      <c r="P52" s="16" t="s">
        <v>82</v>
      </c>
      <c r="Q52" s="17">
        <v>74</v>
      </c>
      <c r="T52">
        <v>47</v>
      </c>
      <c r="U52" t="s">
        <v>82</v>
      </c>
      <c r="V52">
        <v>39</v>
      </c>
      <c r="Y52">
        <v>47</v>
      </c>
      <c r="Z52" t="s">
        <v>82</v>
      </c>
      <c r="AA52">
        <v>232</v>
      </c>
    </row>
    <row r="53" spans="2:27" x14ac:dyDescent="0.3">
      <c r="B53">
        <v>48</v>
      </c>
      <c r="C53" t="s">
        <v>83</v>
      </c>
      <c r="D53">
        <v>7315</v>
      </c>
      <c r="E53">
        <v>71</v>
      </c>
      <c r="F53">
        <v>10</v>
      </c>
      <c r="G53">
        <v>146</v>
      </c>
      <c r="J53">
        <v>48</v>
      </c>
      <c r="K53" t="s">
        <v>83</v>
      </c>
      <c r="L53">
        <v>7315</v>
      </c>
      <c r="O53" s="18">
        <v>48</v>
      </c>
      <c r="P53" s="19" t="s">
        <v>83</v>
      </c>
      <c r="Q53" s="20">
        <v>71</v>
      </c>
      <c r="T53">
        <v>48</v>
      </c>
      <c r="U53" t="s">
        <v>83</v>
      </c>
      <c r="V53">
        <v>10</v>
      </c>
      <c r="Y53">
        <v>48</v>
      </c>
      <c r="Z53" t="s">
        <v>83</v>
      </c>
      <c r="AA53">
        <v>146</v>
      </c>
    </row>
    <row r="54" spans="2:27" x14ac:dyDescent="0.3">
      <c r="B54">
        <v>49</v>
      </c>
      <c r="C54" t="s">
        <v>84</v>
      </c>
      <c r="D54">
        <v>15869</v>
      </c>
      <c r="E54">
        <v>24</v>
      </c>
      <c r="F54">
        <v>57</v>
      </c>
      <c r="G54">
        <v>420</v>
      </c>
      <c r="J54">
        <v>49</v>
      </c>
      <c r="K54" t="s">
        <v>84</v>
      </c>
      <c r="L54">
        <v>15869</v>
      </c>
      <c r="O54" s="15">
        <v>49</v>
      </c>
      <c r="P54" s="16" t="s">
        <v>84</v>
      </c>
      <c r="Q54" s="17">
        <v>24</v>
      </c>
      <c r="T54">
        <v>49</v>
      </c>
      <c r="U54" t="s">
        <v>84</v>
      </c>
      <c r="V54">
        <v>57</v>
      </c>
      <c r="Y54">
        <v>49</v>
      </c>
      <c r="Z54" t="s">
        <v>84</v>
      </c>
      <c r="AA54">
        <v>420</v>
      </c>
    </row>
    <row r="55" spans="2:27" x14ac:dyDescent="0.3">
      <c r="B55">
        <v>50</v>
      </c>
      <c r="C55" t="s">
        <v>85</v>
      </c>
      <c r="D55">
        <v>12625</v>
      </c>
      <c r="E55">
        <v>38</v>
      </c>
      <c r="F55">
        <v>50</v>
      </c>
      <c r="G55">
        <v>489</v>
      </c>
      <c r="J55">
        <v>50</v>
      </c>
      <c r="K55" t="s">
        <v>85</v>
      </c>
      <c r="L55">
        <v>12625</v>
      </c>
      <c r="O55" s="18">
        <v>50</v>
      </c>
      <c r="P55" s="19" t="s">
        <v>85</v>
      </c>
      <c r="Q55" s="20">
        <v>38</v>
      </c>
      <c r="T55">
        <v>50</v>
      </c>
      <c r="U55" t="s">
        <v>85</v>
      </c>
      <c r="V55">
        <v>50</v>
      </c>
      <c r="Y55">
        <v>50</v>
      </c>
      <c r="Z55" t="s">
        <v>85</v>
      </c>
      <c r="AA55">
        <v>489</v>
      </c>
    </row>
    <row r="56" spans="2:27" x14ac:dyDescent="0.3">
      <c r="C56" t="s">
        <v>87</v>
      </c>
      <c r="D56">
        <v>539651</v>
      </c>
      <c r="E56">
        <v>1997</v>
      </c>
      <c r="F56">
        <v>1681</v>
      </c>
      <c r="G56">
        <v>17520</v>
      </c>
      <c r="K56" t="s">
        <v>87</v>
      </c>
      <c r="L56">
        <v>539651</v>
      </c>
      <c r="P56" s="19" t="s">
        <v>94</v>
      </c>
      <c r="Q56" s="20">
        <f>SUM(Q6:Q55)</f>
        <v>1997</v>
      </c>
      <c r="U56" t="s">
        <v>87</v>
      </c>
      <c r="V56">
        <v>1681</v>
      </c>
      <c r="Z56" t="s">
        <v>87</v>
      </c>
      <c r="AA56">
        <v>17520</v>
      </c>
    </row>
  </sheetData>
  <mergeCells count="5">
    <mergeCell ref="B2:G3"/>
    <mergeCell ref="J2:L3"/>
    <mergeCell ref="O2:Q3"/>
    <mergeCell ref="T2:V3"/>
    <mergeCell ref="Y2:AA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AD59C-6C97-40D8-BE29-5E661EB31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DATA_MODEL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rahan s</dc:creator>
  <cp:lastModifiedBy>rahan s</cp:lastModifiedBy>
  <dcterms:created xsi:type="dcterms:W3CDTF">2026-06-26T14:13:43Z</dcterms:created>
  <dcterms:modified xsi:type="dcterms:W3CDTF">2026-06-26T14:15:58Z</dcterms:modified>
</cp:coreProperties>
</file>